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649" firstSheet="8" activeTab="12"/>
  </bookViews>
  <sheets>
    <sheet name="Early mortality" sheetId="2" r:id="rId1"/>
    <sheet name="Bleeding" sheetId="11" r:id="rId2"/>
    <sheet name="Redo prodecure" sheetId="10" r:id="rId3"/>
    <sheet name="Permanent Pacemaker" sheetId="9" r:id="rId4"/>
    <sheet name="Mortality - Isolated SAVR" sheetId="16" r:id="rId5"/>
    <sheet name="Late Mortality" sheetId="15" r:id="rId6"/>
    <sheet name="Late Stroke" sheetId="12" r:id="rId7"/>
    <sheet name="Stroke" sheetId="3" r:id="rId8"/>
    <sheet name="Operative Death" sheetId="4" r:id="rId9"/>
    <sheet name="AKI" sheetId="5" r:id="rId10"/>
    <sheet name="Transient Ischemic Attack" sheetId="6" r:id="rId11"/>
    <sheet name="Blood product use" sheetId="7" r:id="rId12"/>
    <sheet name="ROB" sheetId="17" r:id="rId13"/>
    <sheet name="Early Mortality - 30d vs inhosp" sheetId="18" r:id="rId14"/>
    <sheet name="AdjMortality" sheetId="19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<sst xmlns="http://schemas.openxmlformats.org/spreadsheetml/2006/main" count="297" uniqueCount="48">
  <si>
    <t>Author</t>
  </si>
  <si>
    <t>Year</t>
  </si>
  <si>
    <t>Outcome</t>
  </si>
  <si>
    <t>event.e</t>
  </si>
  <si>
    <t>n.e</t>
  </si>
  <si>
    <t>event.c</t>
  </si>
  <si>
    <t>n.c</t>
  </si>
  <si>
    <t>Subgroup</t>
  </si>
  <si>
    <t>Zierer</t>
  </si>
  <si>
    <t>Early mortality</t>
  </si>
  <si>
    <t>AS and AR</t>
  </si>
  <si>
    <t>Fialka</t>
  </si>
  <si>
    <t>AS only</t>
  </si>
  <si>
    <t>Andrei</t>
  </si>
  <si>
    <t>Pawlik</t>
  </si>
  <si>
    <t>López-de-Andrés</t>
  </si>
  <si>
    <t>Chang</t>
  </si>
  <si>
    <t>Chaker</t>
  </si>
  <si>
    <t>Duncan</t>
  </si>
  <si>
    <t xml:space="preserve">Zierer </t>
  </si>
  <si>
    <t>Bleeding (any)</t>
  </si>
  <si>
    <t xml:space="preserve">Fialka </t>
  </si>
  <si>
    <t>Redo procedure</t>
  </si>
  <si>
    <t xml:space="preserve">Pawlik </t>
  </si>
  <si>
    <t>Permanent Pacemaker</t>
  </si>
  <si>
    <t>Low or Moderate ROB</t>
  </si>
  <si>
    <t>Serious ROB</t>
  </si>
  <si>
    <t>Isolated SAVR</t>
  </si>
  <si>
    <t>HR</t>
  </si>
  <si>
    <t>95% CI Lower</t>
  </si>
  <si>
    <t>95% CI Upper</t>
  </si>
  <si>
    <t>Late Mortality</t>
  </si>
  <si>
    <t>Hernandez</t>
  </si>
  <si>
    <t>Kulik mSAVR</t>
  </si>
  <si>
    <t>Kulik bioSAVR</t>
  </si>
  <si>
    <t>Johnston mSAVR</t>
  </si>
  <si>
    <t>Johnston bioSAVR</t>
  </si>
  <si>
    <t>Celik</t>
  </si>
  <si>
    <t>Myllykangas</t>
  </si>
  <si>
    <t>Late Stroke</t>
  </si>
  <si>
    <t>Stroke</t>
  </si>
  <si>
    <t>Operatory death</t>
  </si>
  <si>
    <t>AKI</t>
  </si>
  <si>
    <t>Transient Ischemic Attack</t>
  </si>
  <si>
    <t>Blood product use</t>
  </si>
  <si>
    <t>Seriours ROB</t>
  </si>
  <si>
    <t>30-day mortality</t>
  </si>
  <si>
    <t>In-hospital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</si>
</sst>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sz val="14"/>
      <color rgb="FF333333"/>
      <name val="Segoe U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medium">
        <color rgb="FFA8A8A8"/>
      </top>
      <bottom style="medium">
        <color rgb="FFA8A8A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1" applyNumberFormat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6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9">
    <xf numFmtId="0" fontId="0" fillId="0" borderId="0" xfId="0" applyFont="1" applyAlignment="1"/>
    <xf numFmtId="0" fontId="1" fillId="0" borderId="1" xfId="0" applyFont="1" applyBorder="1" applyAlignment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/>
    <xf numFmtId="0" fontId="2" fillId="0" borderId="3" xfId="0" applyFont="1" applyBorder="1" applyAlignment="1"/>
    <xf numFmtId="0" fontId="2" fillId="0" borderId="0" xfId="0" applyFont="1" applyAlignment="1">
      <alignment horizontal="center"/>
    </xf>
    <xf numFmtId="0" fontId="1" fillId="0" borderId="4" xfId="0" applyFont="1" applyBorder="1" applyAlignment="1">
      <alignment horizontal="left"/>
    </xf>
    <xf numFmtId="0" fontId="2" fillId="0" borderId="5" xfId="0" applyFont="1" applyBorder="1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0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Border="1" applyAlignment="1"/>
    <xf numFmtId="0" fontId="3" fillId="0" borderId="6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"/>
  <sheetViews>
    <sheetView workbookViewId="0">
      <selection activeCell="H18" sqref="H18"/>
    </sheetView>
  </sheetViews>
  <sheetFormatPr defaultColWidth="9" defaultRowHeight="13.2"/>
  <cols>
    <col min="1" max="1" width="16.6666666666667" customWidth="1"/>
    <col min="3" max="3" width="16" customWidth="1"/>
    <col min="8" max="8" width="14.3333333333333" style="11" customWidth="1"/>
  </cols>
  <sheetData>
    <row r="1" ht="15.75" customHeight="1" spans="1: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</row>
    <row r="2" spans="1:8">
      <c r="A2" s="4" t="s">
        <v>8</v>
      </c>
      <c r="B2" s="5">
        <v>2024</v>
      </c>
      <c r="C2" s="5" t="s">
        <v>9</v>
      </c>
      <c r="D2" s="5">
        <v>1</v>
      </c>
      <c r="E2" s="5">
        <v>243</v>
      </c>
      <c r="F2" s="5">
        <v>5</v>
      </c>
      <c r="G2" s="5">
        <v>433</v>
      </c>
      <c r="H2" s="11" t="s">
        <v>10</v>
      </c>
    </row>
    <row r="3" spans="1:8">
      <c r="A3" s="4" t="s">
        <v>11</v>
      </c>
      <c r="B3" s="5">
        <v>2024</v>
      </c>
      <c r="C3" s="5" t="s">
        <v>9</v>
      </c>
      <c r="D3" s="5">
        <v>27</v>
      </c>
      <c r="E3" s="5">
        <v>1272</v>
      </c>
      <c r="F3" s="5">
        <v>14</v>
      </c>
      <c r="G3" s="5">
        <v>1272</v>
      </c>
      <c r="H3" s="11" t="s">
        <v>12</v>
      </c>
    </row>
    <row r="4" spans="1:8">
      <c r="A4" s="4" t="s">
        <v>13</v>
      </c>
      <c r="B4" s="5">
        <v>2015</v>
      </c>
      <c r="C4" s="5" t="s">
        <v>9</v>
      </c>
      <c r="D4" s="5">
        <v>2</v>
      </c>
      <c r="E4" s="5">
        <v>124</v>
      </c>
      <c r="F4" s="5">
        <v>1</v>
      </c>
      <c r="G4" s="5">
        <v>124</v>
      </c>
      <c r="H4" s="11" t="s">
        <v>10</v>
      </c>
    </row>
    <row r="5" spans="1:8">
      <c r="A5" s="4" t="s">
        <v>14</v>
      </c>
      <c r="B5" s="5">
        <v>2023</v>
      </c>
      <c r="C5" s="5" t="s">
        <v>9</v>
      </c>
      <c r="D5" s="5">
        <v>26</v>
      </c>
      <c r="E5" s="5">
        <v>763</v>
      </c>
      <c r="F5" s="5">
        <v>27</v>
      </c>
      <c r="G5" s="5">
        <v>763</v>
      </c>
      <c r="H5" s="11" t="s">
        <v>10</v>
      </c>
    </row>
    <row r="6" spans="1:8">
      <c r="A6" s="4" t="s">
        <v>15</v>
      </c>
      <c r="B6" s="5">
        <v>2019</v>
      </c>
      <c r="C6" s="5" t="s">
        <v>9</v>
      </c>
      <c r="D6" s="5">
        <v>2665</v>
      </c>
      <c r="E6" s="5">
        <v>34647</v>
      </c>
      <c r="F6" s="5">
        <v>2108</v>
      </c>
      <c r="G6" s="5">
        <v>34647</v>
      </c>
      <c r="H6" s="11" t="s">
        <v>12</v>
      </c>
    </row>
    <row r="7" spans="1:8">
      <c r="A7" s="4" t="s">
        <v>16</v>
      </c>
      <c r="B7" s="5">
        <v>2023</v>
      </c>
      <c r="C7" s="5" t="s">
        <v>9</v>
      </c>
      <c r="D7" s="5">
        <v>135</v>
      </c>
      <c r="E7" s="5">
        <v>2077</v>
      </c>
      <c r="F7" s="5">
        <v>109</v>
      </c>
      <c r="G7" s="5">
        <v>2096</v>
      </c>
      <c r="H7" s="11" t="s">
        <v>10</v>
      </c>
    </row>
    <row r="8" spans="1:8">
      <c r="A8" s="4" t="s">
        <v>17</v>
      </c>
      <c r="B8" s="5">
        <v>2017</v>
      </c>
      <c r="C8" s="5" t="s">
        <v>9</v>
      </c>
      <c r="D8" s="5">
        <v>943</v>
      </c>
      <c r="E8" s="5">
        <v>28237</v>
      </c>
      <c r="F8" s="5">
        <v>806</v>
      </c>
      <c r="G8" s="5">
        <v>28237</v>
      </c>
      <c r="H8" s="11" t="s">
        <v>12</v>
      </c>
    </row>
    <row r="9" spans="1:8">
      <c r="A9" s="4" t="s">
        <v>18</v>
      </c>
      <c r="B9" s="5">
        <v>2006</v>
      </c>
      <c r="C9" s="5" t="s">
        <v>9</v>
      </c>
      <c r="D9" s="5">
        <v>9</v>
      </c>
      <c r="E9" s="5">
        <v>232</v>
      </c>
      <c r="F9" s="5">
        <v>9</v>
      </c>
      <c r="G9" s="5">
        <v>232</v>
      </c>
      <c r="H9" s="11" t="s">
        <v>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"/>
  <sheetViews>
    <sheetView workbookViewId="0">
      <selection activeCell="A8" sqref="A8"/>
    </sheetView>
  </sheetViews>
  <sheetFormatPr defaultColWidth="9" defaultRowHeight="13.2" outlineLevelRow="2"/>
  <sheetData>
    <row r="1" ht="15.75" customHeight="1" spans="1:1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6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0">
      <c r="A2" s="4" t="s">
        <v>19</v>
      </c>
      <c r="B2" s="5">
        <v>2024</v>
      </c>
      <c r="C2" s="5" t="s">
        <v>20</v>
      </c>
      <c r="D2" s="5">
        <v>29</v>
      </c>
      <c r="E2" s="5">
        <v>243</v>
      </c>
      <c r="F2" s="5">
        <v>43</v>
      </c>
      <c r="G2" s="5">
        <v>433</v>
      </c>
      <c r="H2" s="7"/>
      <c r="I2" s="5"/>
      <c r="J2" s="5"/>
    </row>
    <row r="3" spans="1:10">
      <c r="A3" s="4" t="s">
        <v>21</v>
      </c>
      <c r="B3" s="5">
        <v>2024</v>
      </c>
      <c r="C3" s="5" t="s">
        <v>20</v>
      </c>
      <c r="D3" s="5">
        <v>6</v>
      </c>
      <c r="E3" s="5">
        <v>1272</v>
      </c>
      <c r="F3" s="5">
        <v>8</v>
      </c>
      <c r="G3" s="5">
        <v>1272</v>
      </c>
      <c r="H3" s="7"/>
      <c r="I3" s="5"/>
      <c r="J3" s="5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"/>
  <sheetViews>
    <sheetView workbookViewId="0">
      <selection activeCell="C5" sqref="C5"/>
    </sheetView>
  </sheetViews>
  <sheetFormatPr defaultColWidth="9" defaultRowHeight="13.2" outlineLevelRow="2"/>
  <cols>
    <col min="3" max="3" width="15.8888888888889" customWidth="1"/>
  </cols>
  <sheetData>
    <row r="1" ht="15.75" customHeight="1" spans="1:1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6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0">
      <c r="A2" s="4" t="s">
        <v>19</v>
      </c>
      <c r="B2" s="5">
        <v>2024</v>
      </c>
      <c r="C2" s="5" t="s">
        <v>22</v>
      </c>
      <c r="D2" s="5">
        <v>0</v>
      </c>
      <c r="E2" s="5">
        <v>243</v>
      </c>
      <c r="F2" s="5">
        <v>1</v>
      </c>
      <c r="G2" s="5">
        <v>433</v>
      </c>
      <c r="H2" s="7"/>
      <c r="I2" s="5"/>
      <c r="J2" s="5"/>
    </row>
    <row r="3" spans="1:10">
      <c r="A3" s="4" t="s">
        <v>23</v>
      </c>
      <c r="B3" s="5">
        <v>2023</v>
      </c>
      <c r="C3" s="5" t="s">
        <v>22</v>
      </c>
      <c r="D3" s="5">
        <v>44</v>
      </c>
      <c r="E3" s="5">
        <v>763</v>
      </c>
      <c r="F3" s="5">
        <v>36</v>
      </c>
      <c r="G3" s="5">
        <v>763</v>
      </c>
      <c r="H3" s="7"/>
      <c r="I3" s="5"/>
      <c r="J3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"/>
  <sheetViews>
    <sheetView workbookViewId="0">
      <selection activeCell="C24" sqref="C24"/>
    </sheetView>
  </sheetViews>
  <sheetFormatPr defaultColWidth="9" defaultRowHeight="13.2" outlineLevelRow="4"/>
  <cols>
    <col min="1" max="1" width="16.5555555555556" customWidth="1"/>
    <col min="3" max="3" width="21.5555555555556" customWidth="1"/>
    <col min="8" max="8" width="14.6666666666667" customWidth="1"/>
  </cols>
  <sheetData>
    <row r="1" ht="15.75" customHeight="1" spans="1:1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6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0">
      <c r="A2" s="4" t="s">
        <v>19</v>
      </c>
      <c r="B2" s="5">
        <v>2024</v>
      </c>
      <c r="C2" s="5" t="s">
        <v>24</v>
      </c>
      <c r="D2" s="5">
        <v>9</v>
      </c>
      <c r="E2" s="5">
        <v>243</v>
      </c>
      <c r="F2" s="5">
        <v>18</v>
      </c>
      <c r="G2" s="5">
        <v>433</v>
      </c>
      <c r="H2" s="7" t="s">
        <v>25</v>
      </c>
      <c r="I2" s="5"/>
      <c r="J2" s="5"/>
    </row>
    <row r="3" spans="1:10">
      <c r="A3" s="4" t="s">
        <v>21</v>
      </c>
      <c r="B3" s="5">
        <v>2024</v>
      </c>
      <c r="C3" s="5" t="s">
        <v>24</v>
      </c>
      <c r="D3" s="5">
        <v>69</v>
      </c>
      <c r="E3" s="5">
        <v>1272</v>
      </c>
      <c r="F3" s="5">
        <v>49</v>
      </c>
      <c r="G3" s="5">
        <v>1272</v>
      </c>
      <c r="H3" s="7" t="s">
        <v>25</v>
      </c>
      <c r="I3" s="5"/>
      <c r="J3" s="5"/>
    </row>
    <row r="4" spans="1:10">
      <c r="A4" s="4" t="s">
        <v>15</v>
      </c>
      <c r="B4" s="5">
        <v>2019</v>
      </c>
      <c r="C4" s="5" t="s">
        <v>24</v>
      </c>
      <c r="D4" s="5">
        <v>1332</v>
      </c>
      <c r="E4" s="5">
        <v>34647</v>
      </c>
      <c r="F4" s="5">
        <v>1324</v>
      </c>
      <c r="G4" s="5">
        <v>34647</v>
      </c>
      <c r="H4" s="7" t="s">
        <v>26</v>
      </c>
      <c r="I4" s="5"/>
      <c r="J4" s="5"/>
    </row>
    <row r="5" spans="1:10">
      <c r="A5" s="4" t="s">
        <v>17</v>
      </c>
      <c r="B5" s="5">
        <v>2017</v>
      </c>
      <c r="C5" s="5" t="s">
        <v>24</v>
      </c>
      <c r="D5" s="5">
        <v>1769</v>
      </c>
      <c r="E5" s="5">
        <v>28237</v>
      </c>
      <c r="F5" s="5">
        <v>1686</v>
      </c>
      <c r="G5" s="5">
        <v>28237</v>
      </c>
      <c r="H5" s="7" t="s">
        <v>25</v>
      </c>
      <c r="I5" s="5"/>
      <c r="J5" s="5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"/>
  <sheetViews>
    <sheetView workbookViewId="0">
      <selection activeCell="F10" sqref="F10"/>
    </sheetView>
  </sheetViews>
  <sheetFormatPr defaultColWidth="9" defaultRowHeight="13.2" outlineLevelRow="6"/>
  <cols>
    <col min="1" max="1" width="15.3333333333333" customWidth="1"/>
    <col min="3" max="3" width="20.1111111111111" customWidth="1"/>
    <col min="7" max="7" width="12.6666666666667" customWidth="1"/>
    <col min="8" max="9" width="19.1111111111111" customWidth="1"/>
  </cols>
  <sheetData>
    <row r="1" ht="15.75" customHeight="1" spans="1: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7" t="s">
        <v>7</v>
      </c>
      <c r="I1" s="3"/>
      <c r="J1" s="3"/>
      <c r="K1" s="3"/>
      <c r="L1" s="3"/>
      <c r="M1" s="3"/>
      <c r="N1" s="3"/>
      <c r="O1" s="3"/>
    </row>
    <row r="2" spans="1:8">
      <c r="A2" s="4" t="s">
        <v>13</v>
      </c>
      <c r="B2" s="5">
        <v>2015</v>
      </c>
      <c r="C2" s="5" t="s">
        <v>9</v>
      </c>
      <c r="D2" s="5">
        <v>2</v>
      </c>
      <c r="E2" s="5">
        <v>124</v>
      </c>
      <c r="F2" s="5">
        <v>1</v>
      </c>
      <c r="G2" s="5">
        <v>124</v>
      </c>
      <c r="H2" s="18" t="s">
        <v>27</v>
      </c>
    </row>
    <row r="3" spans="1:8">
      <c r="A3" s="4" t="s">
        <v>14</v>
      </c>
      <c r="B3" s="5">
        <v>2023</v>
      </c>
      <c r="C3" s="5" t="s">
        <v>9</v>
      </c>
      <c r="D3" s="5">
        <v>26</v>
      </c>
      <c r="E3" s="5">
        <v>763</v>
      </c>
      <c r="F3" s="5">
        <v>27</v>
      </c>
      <c r="G3" s="5">
        <v>763</v>
      </c>
      <c r="H3" s="18" t="s">
        <v>27</v>
      </c>
    </row>
    <row r="4" spans="1:8">
      <c r="A4" s="4" t="s">
        <v>16</v>
      </c>
      <c r="B4" s="5">
        <v>2023</v>
      </c>
      <c r="C4" s="5" t="s">
        <v>9</v>
      </c>
      <c r="D4" s="5">
        <v>135</v>
      </c>
      <c r="E4" s="5">
        <v>2077</v>
      </c>
      <c r="F4" s="5">
        <v>109</v>
      </c>
      <c r="G4" s="5">
        <v>2096</v>
      </c>
      <c r="H4" s="18" t="s">
        <v>27</v>
      </c>
    </row>
    <row r="5" spans="1:8">
      <c r="A5" s="4" t="s">
        <v>17</v>
      </c>
      <c r="B5" s="5">
        <v>2017</v>
      </c>
      <c r="C5" s="5" t="s">
        <v>9</v>
      </c>
      <c r="D5" s="5">
        <v>943</v>
      </c>
      <c r="E5" s="5">
        <v>28237</v>
      </c>
      <c r="F5" s="5">
        <v>806</v>
      </c>
      <c r="G5" s="5">
        <v>28237</v>
      </c>
      <c r="H5" s="18" t="s">
        <v>27</v>
      </c>
    </row>
    <row r="6" spans="1:8">
      <c r="A6" s="4" t="s">
        <v>18</v>
      </c>
      <c r="B6" s="5">
        <v>2006</v>
      </c>
      <c r="C6" s="5" t="s">
        <v>9</v>
      </c>
      <c r="D6" s="5">
        <v>9</v>
      </c>
      <c r="E6" s="5">
        <v>232</v>
      </c>
      <c r="F6" s="5">
        <v>9</v>
      </c>
      <c r="G6" s="5">
        <v>232</v>
      </c>
      <c r="H6" s="18" t="s">
        <v>27</v>
      </c>
    </row>
    <row r="7" spans="1:8">
      <c r="A7" s="4" t="s">
        <v>11</v>
      </c>
      <c r="B7" s="5">
        <v>2024</v>
      </c>
      <c r="C7" s="5" t="s">
        <v>9</v>
      </c>
      <c r="D7" s="5">
        <v>8</v>
      </c>
      <c r="E7" s="5">
        <v>531</v>
      </c>
      <c r="F7" s="5">
        <v>4</v>
      </c>
      <c r="G7" s="5">
        <v>531</v>
      </c>
      <c r="H7" s="18" t="s">
        <v>27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workbookViewId="0">
      <selection activeCell="I12" sqref="I12"/>
    </sheetView>
  </sheetViews>
  <sheetFormatPr defaultColWidth="9" defaultRowHeight="13.2"/>
  <cols>
    <col min="1" max="1" width="20.3333333333333" customWidth="1"/>
    <col min="2" max="2" width="15" customWidth="1"/>
    <col min="4" max="4" width="18.7777777777778" customWidth="1"/>
    <col min="5" max="5" width="20.6666666666667" customWidth="1"/>
  </cols>
  <sheetData>
    <row r="1" ht="15.75" customHeight="1" spans="1:13">
      <c r="A1" s="1" t="s">
        <v>0</v>
      </c>
      <c r="B1" s="2" t="s">
        <v>2</v>
      </c>
      <c r="C1" s="3" t="s">
        <v>28</v>
      </c>
      <c r="D1" s="14" t="s">
        <v>29</v>
      </c>
      <c r="E1" s="14" t="s">
        <v>30</v>
      </c>
      <c r="F1" s="3"/>
      <c r="G1" s="3"/>
      <c r="H1" s="3"/>
      <c r="I1" s="3"/>
      <c r="J1" s="3"/>
      <c r="K1" s="3"/>
      <c r="L1" s="3"/>
      <c r="M1" s="3"/>
    </row>
    <row r="2" spans="1:5">
      <c r="A2" t="s">
        <v>13</v>
      </c>
      <c r="B2" t="s">
        <v>31</v>
      </c>
      <c r="C2" s="9">
        <v>1.3</v>
      </c>
      <c r="D2" s="15">
        <v>0.48</v>
      </c>
      <c r="E2" s="15">
        <v>3.48</v>
      </c>
    </row>
    <row r="3" spans="1:5">
      <c r="A3" t="s">
        <v>14</v>
      </c>
      <c r="B3" t="s">
        <v>31</v>
      </c>
      <c r="C3" s="11">
        <v>0.84</v>
      </c>
      <c r="D3" s="11">
        <v>0.68</v>
      </c>
      <c r="E3" s="11">
        <v>1.04</v>
      </c>
    </row>
    <row r="4" spans="1:5">
      <c r="A4" t="s">
        <v>32</v>
      </c>
      <c r="B4" t="s">
        <v>31</v>
      </c>
      <c r="C4" s="11">
        <v>1.31</v>
      </c>
      <c r="D4" s="15">
        <v>1.08</v>
      </c>
      <c r="E4" s="11">
        <v>1.59</v>
      </c>
    </row>
    <row r="5" spans="1:5">
      <c r="A5" t="s">
        <v>33</v>
      </c>
      <c r="B5" t="s">
        <v>31</v>
      </c>
      <c r="C5" s="11">
        <v>0.97</v>
      </c>
      <c r="D5" s="12">
        <v>0.71</v>
      </c>
      <c r="E5" s="11">
        <v>1.32</v>
      </c>
    </row>
    <row r="6" spans="1:5">
      <c r="A6" t="s">
        <v>34</v>
      </c>
      <c r="B6" t="s">
        <v>31</v>
      </c>
      <c r="C6" s="11">
        <v>0.56</v>
      </c>
      <c r="D6" s="11">
        <v>0.42</v>
      </c>
      <c r="E6" s="11">
        <v>0.75</v>
      </c>
    </row>
    <row r="7" spans="1:5">
      <c r="A7" t="s">
        <v>35</v>
      </c>
      <c r="B7" t="s">
        <v>31</v>
      </c>
      <c r="C7" s="11">
        <v>1.16</v>
      </c>
      <c r="D7" s="11">
        <v>0.82</v>
      </c>
      <c r="E7" s="11">
        <v>1.64</v>
      </c>
    </row>
    <row r="8" spans="1:5">
      <c r="A8" t="s">
        <v>36</v>
      </c>
      <c r="B8" t="s">
        <v>31</v>
      </c>
      <c r="C8" s="11">
        <v>0.91</v>
      </c>
      <c r="D8" s="11">
        <v>0.83</v>
      </c>
      <c r="E8" s="11">
        <v>0.99</v>
      </c>
    </row>
    <row r="9" spans="1:5">
      <c r="A9" t="s">
        <v>8</v>
      </c>
      <c r="B9" t="s">
        <v>31</v>
      </c>
      <c r="C9" s="11">
        <v>0.96</v>
      </c>
      <c r="D9" s="11">
        <v>0.41</v>
      </c>
      <c r="E9" s="11">
        <v>2.26</v>
      </c>
    </row>
    <row r="10" spans="1:5">
      <c r="A10" t="s">
        <v>11</v>
      </c>
      <c r="B10" t="s">
        <v>31</v>
      </c>
      <c r="C10" s="11">
        <v>0.93</v>
      </c>
      <c r="D10" s="11">
        <v>0.79</v>
      </c>
      <c r="E10" s="11">
        <v>1.09</v>
      </c>
    </row>
    <row r="11" spans="1:5">
      <c r="A11" t="s">
        <v>37</v>
      </c>
      <c r="B11" t="s">
        <v>31</v>
      </c>
      <c r="C11" s="11">
        <v>0.86</v>
      </c>
      <c r="D11" s="11">
        <v>0.73</v>
      </c>
      <c r="E11" s="11">
        <v>1.02</v>
      </c>
    </row>
    <row r="12" spans="1:5">
      <c r="A12" t="s">
        <v>38</v>
      </c>
      <c r="B12" t="s">
        <v>31</v>
      </c>
      <c r="C12" s="11">
        <v>0.91</v>
      </c>
      <c r="D12" s="11">
        <v>0.81</v>
      </c>
      <c r="E12" s="11">
        <v>1.01</v>
      </c>
    </row>
    <row r="18" ht="13.95"/>
    <row r="19" ht="15.6" customHeight="1" spans="4:5">
      <c r="D19" s="16"/>
      <c r="E19" s="16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2"/>
  <sheetViews>
    <sheetView workbookViewId="0">
      <selection activeCell="G15" sqref="G15"/>
    </sheetView>
  </sheetViews>
  <sheetFormatPr defaultColWidth="9" defaultRowHeight="13.2"/>
  <cols>
    <col min="1" max="1" width="18.5555555555556" customWidth="1"/>
    <col min="2" max="2" width="12.7777777777778" customWidth="1"/>
    <col min="3" max="3" width="14.8888888888889" customWidth="1"/>
    <col min="8" max="8" width="16.8888888888889" customWidth="1"/>
    <col min="9" max="9" width="11" customWidth="1"/>
    <col min="10" max="10" width="17.6666666666667" customWidth="1"/>
    <col min="11" max="11" width="17.2222222222222" customWidth="1"/>
  </cols>
  <sheetData>
    <row r="1" ht="15.75" customHeight="1" spans="1:1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6" t="s">
        <v>7</v>
      </c>
      <c r="I1" s="3" t="s">
        <v>28</v>
      </c>
      <c r="J1" s="12" t="s">
        <v>29</v>
      </c>
      <c r="K1" s="12" t="s">
        <v>30</v>
      </c>
      <c r="L1" s="3"/>
      <c r="M1" s="3"/>
      <c r="N1" s="3"/>
      <c r="O1" s="3"/>
      <c r="P1" s="3"/>
      <c r="Q1" s="3"/>
      <c r="R1" s="3"/>
    </row>
    <row r="2" ht="15.75" customHeight="1" spans="1:18">
      <c r="A2" t="s">
        <v>35</v>
      </c>
      <c r="B2" s="8"/>
      <c r="C2" t="s">
        <v>39</v>
      </c>
      <c r="D2" s="8"/>
      <c r="E2" s="9">
        <v>577</v>
      </c>
      <c r="F2" s="9"/>
      <c r="G2" s="9">
        <v>1389</v>
      </c>
      <c r="H2" s="10"/>
      <c r="I2" s="9">
        <v>0.65</v>
      </c>
      <c r="J2" s="9">
        <v>0.4</v>
      </c>
      <c r="K2" s="9">
        <v>1.04</v>
      </c>
      <c r="L2" s="13"/>
      <c r="M2" s="13"/>
      <c r="N2" s="13"/>
      <c r="O2" s="13"/>
      <c r="P2" s="13"/>
      <c r="Q2" s="13"/>
      <c r="R2" s="13"/>
    </row>
    <row r="3" spans="1:11">
      <c r="A3" t="s">
        <v>36</v>
      </c>
      <c r="C3" t="s">
        <v>39</v>
      </c>
      <c r="E3" s="11">
        <v>3766</v>
      </c>
      <c r="F3" s="11"/>
      <c r="G3" s="11">
        <v>6035</v>
      </c>
      <c r="I3" s="11">
        <v>0.88</v>
      </c>
      <c r="J3" s="11">
        <v>0.73</v>
      </c>
      <c r="K3" s="11">
        <v>1.07</v>
      </c>
    </row>
    <row r="4" spans="1:11">
      <c r="A4" t="s">
        <v>33</v>
      </c>
      <c r="C4" t="s">
        <v>39</v>
      </c>
      <c r="E4" s="11">
        <v>278</v>
      </c>
      <c r="F4" s="11"/>
      <c r="G4" s="11">
        <v>674</v>
      </c>
      <c r="I4" s="11">
        <v>0.58</v>
      </c>
      <c r="J4" s="11">
        <v>0.37</v>
      </c>
      <c r="K4" s="11">
        <v>0.93</v>
      </c>
    </row>
    <row r="5" spans="1:11">
      <c r="A5" t="s">
        <v>34</v>
      </c>
      <c r="C5" t="s">
        <v>39</v>
      </c>
      <c r="E5" s="11">
        <v>486</v>
      </c>
      <c r="F5" s="11"/>
      <c r="G5" s="11">
        <v>815</v>
      </c>
      <c r="I5" s="11">
        <v>0.65</v>
      </c>
      <c r="J5" s="11">
        <v>0.29</v>
      </c>
      <c r="K5" s="11">
        <v>1.47</v>
      </c>
    </row>
    <row r="6" spans="1:11">
      <c r="A6" t="s">
        <v>38</v>
      </c>
      <c r="C6" t="s">
        <v>39</v>
      </c>
      <c r="E6" s="11">
        <v>2785</v>
      </c>
      <c r="F6" s="11"/>
      <c r="G6" s="11">
        <v>2804</v>
      </c>
      <c r="I6" s="11">
        <v>1.06</v>
      </c>
      <c r="J6" s="11">
        <v>0.85</v>
      </c>
      <c r="K6" s="11">
        <v>1.31</v>
      </c>
    </row>
    <row r="7" spans="5:11">
      <c r="E7">
        <f>SUM(E2:E6)</f>
        <v>7892</v>
      </c>
      <c r="G7">
        <f>SUM(G2:G6)</f>
        <v>11717</v>
      </c>
      <c r="I7" s="11"/>
      <c r="J7" s="11"/>
      <c r="K7" s="11"/>
    </row>
    <row r="8" spans="9:11">
      <c r="I8" s="11"/>
      <c r="J8" s="11"/>
      <c r="K8" s="11"/>
    </row>
    <row r="9" spans="9:11">
      <c r="I9" s="11"/>
      <c r="J9" s="11"/>
      <c r="K9" s="11"/>
    </row>
    <row r="10" spans="10:11">
      <c r="J10" s="11"/>
      <c r="K10" s="11"/>
    </row>
    <row r="11" spans="9:11">
      <c r="I11" s="11"/>
      <c r="J11" s="11"/>
      <c r="K11" s="11"/>
    </row>
    <row r="12" spans="9:11">
      <c r="I12" s="11"/>
      <c r="J12" s="11"/>
      <c r="K12" s="11"/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"/>
  <sheetViews>
    <sheetView workbookViewId="0">
      <selection activeCell="I12" sqref="I12"/>
    </sheetView>
  </sheetViews>
  <sheetFormatPr defaultColWidth="9" defaultRowHeight="13.2" outlineLevelRow="3"/>
  <sheetData>
    <row r="1" ht="15.75" customHeight="1" spans="1:1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6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0">
      <c r="A2" s="4" t="s">
        <v>19</v>
      </c>
      <c r="B2" s="5">
        <v>2024</v>
      </c>
      <c r="C2" s="5" t="s">
        <v>40</v>
      </c>
      <c r="D2" s="5">
        <v>4</v>
      </c>
      <c r="E2" s="5">
        <v>243</v>
      </c>
      <c r="F2" s="5">
        <v>7</v>
      </c>
      <c r="G2" s="5">
        <v>433</v>
      </c>
      <c r="H2" s="7"/>
      <c r="I2" s="5"/>
      <c r="J2" s="5"/>
    </row>
    <row r="3" spans="1:10">
      <c r="A3" s="4" t="s">
        <v>17</v>
      </c>
      <c r="B3" s="5">
        <v>2017</v>
      </c>
      <c r="C3" s="5" t="s">
        <v>40</v>
      </c>
      <c r="D3" s="5">
        <v>682</v>
      </c>
      <c r="E3" s="5">
        <v>28237</v>
      </c>
      <c r="F3" s="5">
        <v>682</v>
      </c>
      <c r="G3" s="5">
        <v>28237</v>
      </c>
      <c r="H3" s="7"/>
      <c r="I3" s="5"/>
      <c r="J3" s="5"/>
    </row>
    <row r="4" spans="1:10">
      <c r="A4" s="4" t="s">
        <v>18</v>
      </c>
      <c r="B4" s="5">
        <v>2006</v>
      </c>
      <c r="C4" s="5" t="s">
        <v>40</v>
      </c>
      <c r="D4" s="5">
        <v>8</v>
      </c>
      <c r="E4" s="5">
        <v>232</v>
      </c>
      <c r="F4" s="5">
        <v>5</v>
      </c>
      <c r="G4" s="5">
        <v>232</v>
      </c>
      <c r="H4" s="7"/>
      <c r="I4" s="5"/>
      <c r="J4" s="5"/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"/>
  <sheetViews>
    <sheetView workbookViewId="0">
      <selection activeCell="B31" sqref="B31"/>
    </sheetView>
  </sheetViews>
  <sheetFormatPr defaultColWidth="9" defaultRowHeight="13.2" outlineLevelRow="2"/>
  <sheetData>
    <row r="1" ht="15.75" customHeight="1" spans="1:1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6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0">
      <c r="A2" s="4" t="s">
        <v>23</v>
      </c>
      <c r="B2" s="5">
        <v>2023</v>
      </c>
      <c r="C2" s="5" t="s">
        <v>41</v>
      </c>
      <c r="D2" s="5">
        <v>1</v>
      </c>
      <c r="E2" s="5">
        <v>763</v>
      </c>
      <c r="F2" s="5">
        <v>2</v>
      </c>
      <c r="G2" s="5">
        <v>763</v>
      </c>
      <c r="H2" s="7"/>
      <c r="I2" s="5"/>
      <c r="J2" s="5"/>
    </row>
    <row r="3" spans="1:10">
      <c r="A3" s="4" t="s">
        <v>17</v>
      </c>
      <c r="B3" s="5">
        <v>2017</v>
      </c>
      <c r="C3" s="5" t="s">
        <v>41</v>
      </c>
      <c r="D3" s="5">
        <v>117</v>
      </c>
      <c r="E3" s="5">
        <v>28237</v>
      </c>
      <c r="F3" s="5">
        <v>87</v>
      </c>
      <c r="G3" s="5">
        <v>28237</v>
      </c>
      <c r="H3" s="7"/>
      <c r="I3" s="5"/>
      <c r="J3" s="5"/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"/>
  <sheetViews>
    <sheetView workbookViewId="0">
      <selection activeCell="J16" sqref="J16"/>
    </sheetView>
  </sheetViews>
  <sheetFormatPr defaultColWidth="9" defaultRowHeight="13.2" outlineLevelRow="3"/>
  <sheetData>
    <row r="1" ht="15.75" customHeight="1" spans="1:1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6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0">
      <c r="A2" s="4" t="s">
        <v>17</v>
      </c>
      <c r="B2" s="5">
        <v>2017</v>
      </c>
      <c r="C2" s="5" t="s">
        <v>42</v>
      </c>
      <c r="D2" s="5">
        <v>2968</v>
      </c>
      <c r="E2" s="5">
        <v>28237</v>
      </c>
      <c r="F2" s="5">
        <v>3881</v>
      </c>
      <c r="G2" s="5">
        <v>28237</v>
      </c>
      <c r="H2" s="7"/>
      <c r="I2" s="5"/>
      <c r="J2" s="5"/>
    </row>
    <row r="3" spans="1:10">
      <c r="A3" s="4" t="s">
        <v>21</v>
      </c>
      <c r="B3" s="5">
        <v>2024</v>
      </c>
      <c r="C3" s="5" t="s">
        <v>42</v>
      </c>
      <c r="D3" s="5">
        <v>55</v>
      </c>
      <c r="E3" s="5">
        <v>1272</v>
      </c>
      <c r="F3" s="5">
        <v>88</v>
      </c>
      <c r="G3" s="5">
        <v>1272</v>
      </c>
      <c r="H3" s="7"/>
      <c r="I3" s="5"/>
      <c r="J3" s="5"/>
    </row>
    <row r="4" spans="1:10">
      <c r="A4" s="4" t="s">
        <v>18</v>
      </c>
      <c r="B4" s="5">
        <v>2006</v>
      </c>
      <c r="C4" s="5" t="s">
        <v>42</v>
      </c>
      <c r="D4" s="5">
        <v>5</v>
      </c>
      <c r="E4" s="5">
        <v>232</v>
      </c>
      <c r="F4" s="5">
        <v>4</v>
      </c>
      <c r="G4" s="5">
        <v>232</v>
      </c>
      <c r="H4" s="7"/>
      <c r="I4" s="5"/>
      <c r="J4" s="5"/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"/>
  <sheetViews>
    <sheetView workbookViewId="0">
      <selection activeCell="D12" sqref="D12"/>
    </sheetView>
  </sheetViews>
  <sheetFormatPr defaultColWidth="9" defaultRowHeight="13.2" outlineLevelRow="2"/>
  <cols>
    <col min="3" max="3" width="21.5555555555556" customWidth="1"/>
  </cols>
  <sheetData>
    <row r="1" ht="15.75" customHeight="1" spans="1:1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6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0">
      <c r="A2" s="4" t="s">
        <v>19</v>
      </c>
      <c r="B2" s="5">
        <v>2024</v>
      </c>
      <c r="C2" s="5" t="s">
        <v>43</v>
      </c>
      <c r="D2" s="5">
        <v>0</v>
      </c>
      <c r="E2" s="5">
        <v>243</v>
      </c>
      <c r="F2" s="5">
        <v>4</v>
      </c>
      <c r="G2" s="5">
        <v>433</v>
      </c>
      <c r="H2" s="7"/>
      <c r="I2" s="5"/>
      <c r="J2" s="5"/>
    </row>
    <row r="3" spans="1:10">
      <c r="A3" s="4" t="s">
        <v>17</v>
      </c>
      <c r="B3" s="5">
        <v>2017</v>
      </c>
      <c r="C3" s="5" t="s">
        <v>43</v>
      </c>
      <c r="D3" s="5">
        <v>81</v>
      </c>
      <c r="E3" s="5">
        <v>28237</v>
      </c>
      <c r="F3" s="5">
        <v>108</v>
      </c>
      <c r="G3" s="5">
        <v>28237</v>
      </c>
      <c r="H3" s="7"/>
      <c r="I3" s="5"/>
      <c r="J3" s="5"/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"/>
  <sheetViews>
    <sheetView workbookViewId="0">
      <selection activeCell="A30" sqref="A30:A31"/>
    </sheetView>
  </sheetViews>
  <sheetFormatPr defaultColWidth="9" defaultRowHeight="13.2" outlineLevelRow="2"/>
  <sheetData>
    <row r="1" ht="15.75" customHeight="1" spans="1:1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6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0">
      <c r="A2" s="4" t="s">
        <v>17</v>
      </c>
      <c r="B2" s="5">
        <v>2017</v>
      </c>
      <c r="C2" s="5" t="s">
        <v>44</v>
      </c>
      <c r="D2" s="5">
        <v>11386</v>
      </c>
      <c r="E2" s="5">
        <v>28237</v>
      </c>
      <c r="F2" s="5">
        <v>9563</v>
      </c>
      <c r="G2" s="5">
        <v>28237</v>
      </c>
      <c r="H2" s="7"/>
      <c r="I2" s="5"/>
      <c r="J2" s="5"/>
    </row>
    <row r="3" spans="1:10">
      <c r="A3" s="4" t="s">
        <v>13</v>
      </c>
      <c r="B3" s="5">
        <v>2015</v>
      </c>
      <c r="C3" s="5" t="s">
        <v>44</v>
      </c>
      <c r="D3" s="5">
        <v>59</v>
      </c>
      <c r="E3" s="5">
        <v>124</v>
      </c>
      <c r="F3" s="5">
        <v>42</v>
      </c>
      <c r="G3" s="5">
        <v>124</v>
      </c>
      <c r="H3" s="7"/>
      <c r="I3" s="5"/>
      <c r="J3" s="5"/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"/>
  <sheetViews>
    <sheetView tabSelected="1" workbookViewId="0">
      <selection activeCell="F31" sqref="F31"/>
    </sheetView>
  </sheetViews>
  <sheetFormatPr defaultColWidth="8.88888888888889" defaultRowHeight="13.2"/>
  <cols>
    <col min="1" max="1" width="15.8888888888889" customWidth="1"/>
    <col min="8" max="9" width="21" customWidth="1"/>
  </cols>
  <sheetData>
    <row r="1" ht="15.75" customHeight="1" spans="1: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/>
      <c r="J1" s="3"/>
      <c r="K1" s="3"/>
      <c r="L1" s="3"/>
      <c r="M1" s="3"/>
      <c r="N1" s="3"/>
      <c r="O1" s="3"/>
    </row>
    <row r="2" spans="1:8">
      <c r="A2" s="4" t="s">
        <v>8</v>
      </c>
      <c r="B2" s="5">
        <v>2024</v>
      </c>
      <c r="C2" s="5" t="s">
        <v>9</v>
      </c>
      <c r="D2" s="5">
        <v>1</v>
      </c>
      <c r="E2" s="5">
        <v>243</v>
      </c>
      <c r="F2" s="5">
        <v>5</v>
      </c>
      <c r="G2" s="5">
        <v>433</v>
      </c>
      <c r="H2" t="s">
        <v>25</v>
      </c>
    </row>
    <row r="3" spans="1:8">
      <c r="A3" s="4" t="s">
        <v>11</v>
      </c>
      <c r="B3" s="5">
        <v>2024</v>
      </c>
      <c r="C3" s="5" t="s">
        <v>9</v>
      </c>
      <c r="D3" s="5">
        <v>27</v>
      </c>
      <c r="E3" s="5">
        <v>1272</v>
      </c>
      <c r="F3" s="5">
        <v>14</v>
      </c>
      <c r="G3" s="5">
        <v>1272</v>
      </c>
      <c r="H3" t="s">
        <v>25</v>
      </c>
    </row>
    <row r="4" spans="1:8">
      <c r="A4" s="4" t="s">
        <v>13</v>
      </c>
      <c r="B4" s="5">
        <v>2015</v>
      </c>
      <c r="C4" s="5" t="s">
        <v>9</v>
      </c>
      <c r="D4" s="5">
        <v>2</v>
      </c>
      <c r="E4" s="5">
        <v>124</v>
      </c>
      <c r="F4" s="5">
        <v>1</v>
      </c>
      <c r="G4" s="5">
        <v>124</v>
      </c>
      <c r="H4" t="s">
        <v>25</v>
      </c>
    </row>
    <row r="5" spans="1:8">
      <c r="A5" s="4" t="s">
        <v>14</v>
      </c>
      <c r="B5" s="5">
        <v>2023</v>
      </c>
      <c r="C5" s="5" t="s">
        <v>9</v>
      </c>
      <c r="D5" s="5">
        <v>26</v>
      </c>
      <c r="E5" s="5">
        <v>763</v>
      </c>
      <c r="F5" s="5">
        <v>27</v>
      </c>
      <c r="G5" s="5">
        <v>763</v>
      </c>
      <c r="H5" t="s">
        <v>25</v>
      </c>
    </row>
    <row r="6" spans="1:8">
      <c r="A6" s="4" t="s">
        <v>15</v>
      </c>
      <c r="B6" s="5">
        <v>2019</v>
      </c>
      <c r="C6" s="5" t="s">
        <v>9</v>
      </c>
      <c r="D6" s="5">
        <v>2665</v>
      </c>
      <c r="E6" s="5">
        <v>34647</v>
      </c>
      <c r="F6" s="5">
        <v>2108</v>
      </c>
      <c r="G6" s="5">
        <v>34647</v>
      </c>
      <c r="H6" t="s">
        <v>45</v>
      </c>
    </row>
    <row r="7" spans="1:8">
      <c r="A7" s="4" t="s">
        <v>16</v>
      </c>
      <c r="B7" s="5">
        <v>2023</v>
      </c>
      <c r="C7" s="5" t="s">
        <v>9</v>
      </c>
      <c r="D7" s="5">
        <v>135</v>
      </c>
      <c r="E7" s="5">
        <v>2077</v>
      </c>
      <c r="F7" s="5">
        <v>109</v>
      </c>
      <c r="G7" s="5">
        <v>2096</v>
      </c>
      <c r="H7" t="s">
        <v>25</v>
      </c>
    </row>
    <row r="8" spans="1:8">
      <c r="A8" s="4" t="s">
        <v>17</v>
      </c>
      <c r="B8" s="5">
        <v>2017</v>
      </c>
      <c r="C8" s="5" t="s">
        <v>9</v>
      </c>
      <c r="D8" s="5">
        <v>943</v>
      </c>
      <c r="E8" s="5">
        <v>28237</v>
      </c>
      <c r="F8" s="5">
        <v>806</v>
      </c>
      <c r="G8" s="5">
        <v>28237</v>
      </c>
      <c r="H8" t="s">
        <v>25</v>
      </c>
    </row>
    <row r="9" spans="1:8">
      <c r="A9" s="4" t="s">
        <v>18</v>
      </c>
      <c r="B9" s="5">
        <v>2006</v>
      </c>
      <c r="C9" s="5" t="s">
        <v>9</v>
      </c>
      <c r="D9" s="5">
        <v>9</v>
      </c>
      <c r="E9" s="5">
        <v>232</v>
      </c>
      <c r="F9" s="5">
        <v>9</v>
      </c>
      <c r="G9" s="5">
        <v>232</v>
      </c>
      <c r="H9" t="s">
        <v>25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"/>
  <sheetViews>
    <sheetView workbookViewId="0">
      <selection activeCell="F24" sqref="F24"/>
    </sheetView>
  </sheetViews>
  <sheetFormatPr defaultColWidth="8.88888888888889" defaultRowHeight="13.2"/>
  <cols>
    <col min="1" max="1" width="16.2222222222222" customWidth="1"/>
    <col min="2" max="2" width="12.4444444444444" customWidth="1"/>
    <col min="3" max="3" width="16.5555555555556" customWidth="1"/>
    <col min="8" max="8" width="23.5555555555556" customWidth="1"/>
    <col min="9" max="9" width="34.2222222222222" customWidth="1"/>
  </cols>
  <sheetData>
    <row r="1" ht="15.75" customHeight="1" spans="1: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</row>
    <row r="2" spans="1:8">
      <c r="A2" s="4" t="s">
        <v>8</v>
      </c>
      <c r="B2" s="5">
        <v>2024</v>
      </c>
      <c r="C2" s="5" t="s">
        <v>9</v>
      </c>
      <c r="D2" s="5">
        <v>1</v>
      </c>
      <c r="E2" s="5">
        <v>243</v>
      </c>
      <c r="F2" s="5">
        <v>5</v>
      </c>
      <c r="G2" s="5">
        <v>433</v>
      </c>
      <c r="H2" s="5" t="s">
        <v>46</v>
      </c>
    </row>
    <row r="3" spans="1:8">
      <c r="A3" s="4" t="s">
        <v>11</v>
      </c>
      <c r="B3" s="5">
        <v>2024</v>
      </c>
      <c r="C3" s="5" t="s">
        <v>9</v>
      </c>
      <c r="D3" s="5">
        <v>27</v>
      </c>
      <c r="E3" s="5">
        <v>1272</v>
      </c>
      <c r="F3" s="5">
        <v>14</v>
      </c>
      <c r="G3" s="5">
        <v>1272</v>
      </c>
      <c r="H3" s="5" t="s">
        <v>46</v>
      </c>
    </row>
    <row r="4" spans="1:8">
      <c r="A4" s="4" t="s">
        <v>13</v>
      </c>
      <c r="B4" s="5">
        <v>2015</v>
      </c>
      <c r="C4" s="5" t="s">
        <v>9</v>
      </c>
      <c r="D4" s="5">
        <v>2</v>
      </c>
      <c r="E4" s="5">
        <v>124</v>
      </c>
      <c r="F4" s="5">
        <v>1</v>
      </c>
      <c r="G4" s="5">
        <v>124</v>
      </c>
      <c r="H4" s="5" t="s">
        <v>46</v>
      </c>
    </row>
    <row r="5" spans="1:8">
      <c r="A5" s="4" t="s">
        <v>14</v>
      </c>
      <c r="B5" s="5">
        <v>2023</v>
      </c>
      <c r="C5" s="5" t="s">
        <v>9</v>
      </c>
      <c r="D5" s="5">
        <v>26</v>
      </c>
      <c r="E5" s="5">
        <v>763</v>
      </c>
      <c r="F5" s="5">
        <v>27</v>
      </c>
      <c r="G5" s="5">
        <v>763</v>
      </c>
      <c r="H5" s="5" t="s">
        <v>47</v>
      </c>
    </row>
    <row r="6" spans="1:8">
      <c r="A6" s="4" t="s">
        <v>15</v>
      </c>
      <c r="B6" s="5">
        <v>2019</v>
      </c>
      <c r="C6" s="5" t="s">
        <v>9</v>
      </c>
      <c r="D6" s="5">
        <v>2665</v>
      </c>
      <c r="E6" s="5">
        <v>34647</v>
      </c>
      <c r="F6" s="5">
        <v>2108</v>
      </c>
      <c r="G6" s="5">
        <v>34647</v>
      </c>
      <c r="H6" s="5" t="s">
        <v>47</v>
      </c>
    </row>
    <row r="7" spans="1:8">
      <c r="A7" s="4" t="s">
        <v>16</v>
      </c>
      <c r="B7" s="5">
        <v>2023</v>
      </c>
      <c r="C7" s="5" t="s">
        <v>9</v>
      </c>
      <c r="D7" s="5">
        <v>135</v>
      </c>
      <c r="E7" s="5">
        <v>2077</v>
      </c>
      <c r="F7" s="5">
        <v>109</v>
      </c>
      <c r="G7" s="5">
        <v>2096</v>
      </c>
      <c r="H7" s="5" t="s">
        <v>47</v>
      </c>
    </row>
    <row r="8" spans="1:8">
      <c r="A8" s="4" t="s">
        <v>17</v>
      </c>
      <c r="B8" s="5">
        <v>2017</v>
      </c>
      <c r="C8" s="5" t="s">
        <v>9</v>
      </c>
      <c r="D8" s="5">
        <v>943</v>
      </c>
      <c r="E8" s="5">
        <v>28237</v>
      </c>
      <c r="F8" s="5">
        <v>806</v>
      </c>
      <c r="G8" s="5">
        <v>28237</v>
      </c>
      <c r="H8" s="5" t="s">
        <v>47</v>
      </c>
    </row>
    <row r="9" spans="1:8">
      <c r="A9" s="4" t="s">
        <v>18</v>
      </c>
      <c r="B9" s="5">
        <v>2006</v>
      </c>
      <c r="C9" s="5" t="s">
        <v>9</v>
      </c>
      <c r="D9" s="5">
        <v>9</v>
      </c>
      <c r="E9" s="5">
        <v>232</v>
      </c>
      <c r="F9" s="5">
        <v>9</v>
      </c>
      <c r="G9" s="5">
        <v>232</v>
      </c>
      <c r="H9" s="5" t="s">
        <v>47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workbookViewId="0">
      <selection activeCell="E19" sqref="E19"/>
    </sheetView>
  </sheetViews>
  <sheetFormatPr defaultColWidth="8.88888888888889" defaultRowHeight="13.2" outlineLevelRow="6"/>
  <cols>
    <col min="1" max="1" width="16.8888888888889" customWidth="1"/>
    <col min="2" max="7" width="13.2222222222222" customWidth="1"/>
  </cols>
  <sheetData>
    <row r="1" ht="15.75" customHeight="1" spans="1: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</row>
    <row r="2" spans="1:7">
      <c r="A2" s="4" t="s">
        <v>8</v>
      </c>
      <c r="B2" s="5">
        <v>2024</v>
      </c>
      <c r="C2" s="5" t="s">
        <v>9</v>
      </c>
      <c r="D2" s="5">
        <v>1</v>
      </c>
      <c r="E2" s="5">
        <v>243</v>
      </c>
      <c r="F2" s="5">
        <v>5</v>
      </c>
      <c r="G2" s="5">
        <v>433</v>
      </c>
    </row>
    <row r="3" spans="1:7">
      <c r="A3" s="4" t="s">
        <v>11</v>
      </c>
      <c r="B3" s="5">
        <v>2024</v>
      </c>
      <c r="C3" s="5" t="s">
        <v>9</v>
      </c>
      <c r="D3" s="5">
        <v>27</v>
      </c>
      <c r="E3" s="5">
        <v>1272</v>
      </c>
      <c r="F3" s="5">
        <v>14</v>
      </c>
      <c r="G3" s="5">
        <v>1272</v>
      </c>
    </row>
    <row r="4" spans="1:7">
      <c r="A4" s="4" t="s">
        <v>13</v>
      </c>
      <c r="B4" s="5">
        <v>2015</v>
      </c>
      <c r="C4" s="5" t="s">
        <v>9</v>
      </c>
      <c r="D4" s="5">
        <v>2</v>
      </c>
      <c r="E4" s="5">
        <v>124</v>
      </c>
      <c r="F4" s="5">
        <v>1</v>
      </c>
      <c r="G4" s="5">
        <v>124</v>
      </c>
    </row>
    <row r="5" spans="1:7">
      <c r="A5" s="4" t="s">
        <v>14</v>
      </c>
      <c r="B5" s="5">
        <v>2023</v>
      </c>
      <c r="C5" s="5" t="s">
        <v>9</v>
      </c>
      <c r="D5" s="5">
        <v>26</v>
      </c>
      <c r="E5" s="5">
        <v>763</v>
      </c>
      <c r="F5" s="5">
        <v>27</v>
      </c>
      <c r="G5" s="5">
        <v>763</v>
      </c>
    </row>
    <row r="6" spans="1:7">
      <c r="A6" s="4" t="s">
        <v>16</v>
      </c>
      <c r="B6" s="5">
        <v>2023</v>
      </c>
      <c r="C6" s="5" t="s">
        <v>9</v>
      </c>
      <c r="D6" s="5">
        <v>135</v>
      </c>
      <c r="E6" s="5">
        <v>2077</v>
      </c>
      <c r="F6" s="5">
        <v>109</v>
      </c>
      <c r="G6" s="5">
        <v>2096</v>
      </c>
    </row>
    <row r="7" spans="1:7">
      <c r="A7" s="4" t="s">
        <v>17</v>
      </c>
      <c r="B7" s="5">
        <v>2017</v>
      </c>
      <c r="C7" s="5" t="s">
        <v>9</v>
      </c>
      <c r="D7" s="5">
        <v>943</v>
      </c>
      <c r="E7" s="5">
        <v>28237</v>
      </c>
      <c r="F7" s="5">
        <v>806</v>
      </c>
      <c r="G7" s="5">
        <v>28237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Early mortality</vt:lpstr>
      <vt:lpstr>Bleeding</vt:lpstr>
      <vt:lpstr>Redo prodecure</vt:lpstr>
      <vt:lpstr>Permanent Pacemaker</vt:lpstr>
      <vt:lpstr>Mortality - Isolated SAVR</vt:lpstr>
      <vt:lpstr>Late Mortality</vt:lpstr>
      <vt:lpstr>Late Stroke</vt:lpstr>
      <vt:lpstr>Stroke</vt:lpstr>
      <vt:lpstr>Operative Death</vt:lpstr>
      <vt:lpstr>AKI</vt:lpstr>
      <vt:lpstr>Transient Ischemic Attack</vt:lpstr>
      <vt:lpstr>Blood product use</vt:lpstr>
      <vt:lpstr>ROB</vt:lpstr>
      <vt:lpstr>Early Mortality - 30d vs inhosp</vt:lpstr>
      <vt:lpstr>AdjMortality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 Consoli</cp:lastModifiedBy>
  <dcterms:created xsi:type="dcterms:W3CDTF">2025-05-05T14:00:00Z</dcterms:created>
  <dcterms:modified xsi:type="dcterms:W3CDTF">2025-11-09T20:36:51Z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FEAC853C44F94DD6B31296C594A25E08_12</vt:lpwstr>
  </property>
  <property fmtid="{D5CDD505-2E9C-101B-9397-08002B2CF9AE}" pid="3" name="KSOProductBuildVer">
    <vt:lpwstr>1033-12.2.0.23155</vt:lpwstr>
  </property>
</Properties>
</file>