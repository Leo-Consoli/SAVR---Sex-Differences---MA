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14"/>
  </bookViews>
  <sheets>
    <sheet name="Sheet1" sheetId="1" r:id="rId1"/>
    <sheet name="Age" sheetId="2" r:id="rId2"/>
    <sheet name="Mechanical" sheetId="3" r:id="rId3"/>
    <sheet name="AR" sheetId="4" r:id="rId4"/>
    <sheet name="LVEF" sheetId="5" r:id="rId5"/>
    <sheet name="HTN" sheetId="6" r:id="rId6"/>
    <sheet name="DM" sheetId="7" r:id="rId7"/>
    <sheet name="CAD" sheetId="8" r:id="rId8"/>
    <sheet name="AF" sheetId="12" r:id="rId9"/>
    <sheet name="COPD" sheetId="15" r:id="rId10"/>
    <sheet name="BMI" sheetId="9" r:id="rId11"/>
    <sheet name="CPB" sheetId="10" r:id="rId12"/>
    <sheet name="ACC" sheetId="11" r:id="rId13"/>
    <sheet name="iEOA" sheetId="13" r:id="rId14"/>
    <sheet name="ProsthesisSize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<sst xmlns="http://schemas.openxmlformats.org/spreadsheetml/2006/main" count="360" uniqueCount="84">
  <si>
    <t>Population</t>
  </si>
  <si>
    <t>Country</t>
  </si>
  <si>
    <t>Study design</t>
  </si>
  <si>
    <t>Follow-up (years)</t>
  </si>
  <si>
    <t>Number of patients</t>
  </si>
  <si>
    <t>Age</t>
  </si>
  <si>
    <t>Mechanical valve (%)</t>
  </si>
  <si>
    <t>Bioprosthetic valve (%)</t>
  </si>
  <si>
    <t>Aortic regurgitation (%)</t>
  </si>
  <si>
    <t>LVEF</t>
  </si>
  <si>
    <t>Hypertension</t>
  </si>
  <si>
    <t>Diabetes</t>
  </si>
  <si>
    <t>CAD</t>
  </si>
  <si>
    <t>BMI</t>
  </si>
  <si>
    <t>Study; Year</t>
  </si>
  <si>
    <t>Women</t>
  </si>
  <si>
    <t>Men</t>
  </si>
  <si>
    <t>Total</t>
  </si>
  <si>
    <t>Andrei 2015</t>
  </si>
  <si>
    <t>Bicuspid</t>
  </si>
  <si>
    <t>United States</t>
  </si>
  <si>
    <t>Retrospective cohort - PSM</t>
  </si>
  <si>
    <t>4.2±2.8 / 4.4±2.6</t>
  </si>
  <si>
    <t>60.7±13.0</t>
  </si>
  <si>
    <t>61.1±12.4</t>
  </si>
  <si>
    <t>NA</t>
  </si>
  <si>
    <t>27.7±6.8</t>
  </si>
  <si>
    <t>27.9±4.3</t>
  </si>
  <si>
    <t>Çelik 2023</t>
  </si>
  <si>
    <t>AVR</t>
  </si>
  <si>
    <t>Netherlands</t>
  </si>
  <si>
    <t>66.1±11.9</t>
  </si>
  <si>
    <t>66.3±11.7</t>
  </si>
  <si>
    <t>Chaker 2017</t>
  </si>
  <si>
    <t>Severe AS</t>
  </si>
  <si>
    <t>Duration of stay</t>
  </si>
  <si>
    <t>68±14.1</t>
  </si>
  <si>
    <t>68±13.3</t>
  </si>
  <si>
    <t>None</t>
  </si>
  <si>
    <t>Chang 2022</t>
  </si>
  <si>
    <t>Taiwan</t>
  </si>
  <si>
    <t>Duncan 2006</t>
  </si>
  <si>
    <t>Fialka 2024</t>
  </si>
  <si>
    <t>Canada</t>
  </si>
  <si>
    <t>67.3 (12.9)</t>
  </si>
  <si>
    <t>66.8 (13.4)</t>
  </si>
  <si>
    <t>29.9 (7.0)</t>
  </si>
  <si>
    <t>29.6 (5.7)</t>
  </si>
  <si>
    <t>Johnston 2024</t>
  </si>
  <si>
    <t>Sweden</t>
  </si>
  <si>
    <t>Retrospective cohort - Adj</t>
  </si>
  <si>
    <t>Kulik 2009</t>
  </si>
  <si>
    <t>Prospective cohort - Adj</t>
  </si>
  <si>
    <t>68.3 (12.3)</t>
  </si>
  <si>
    <t>64.3 (14.1)</t>
  </si>
  <si>
    <t>Lopez de Andres 2019</t>
  </si>
  <si>
    <t>Spain</t>
  </si>
  <si>
    <t>Myllykangas 2020</t>
  </si>
  <si>
    <t>Finland</t>
  </si>
  <si>
    <t>72.2 (9.4)</t>
  </si>
  <si>
    <t>71.8 (9.1)</t>
  </si>
  <si>
    <t>Pawlik 2023</t>
  </si>
  <si>
    <t>Poland</t>
  </si>
  <si>
    <t>Zierer 2024</t>
  </si>
  <si>
    <t>Europe and North America</t>
  </si>
  <si>
    <t>Prospective cohort - PSM</t>
  </si>
  <si>
    <t>59.8±9.5</t>
  </si>
  <si>
    <t>59.0±9.7</t>
  </si>
  <si>
    <t>All</t>
  </si>
  <si>
    <t>46±21</t>
  </si>
  <si>
    <t>45±18</t>
  </si>
  <si>
    <t>Study</t>
  </si>
  <si>
    <t>Women_mean</t>
  </si>
  <si>
    <t>Men_mean</t>
  </si>
  <si>
    <t>Women_sd</t>
  </si>
  <si>
    <t>Men_sd</t>
  </si>
  <si>
    <t>Hernandez 2021</t>
  </si>
  <si>
    <t>Women_n</t>
  </si>
  <si>
    <t>Men_n</t>
  </si>
  <si>
    <t>Year</t>
  </si>
  <si>
    <t xml:space="preserve">Çelik </t>
  </si>
  <si>
    <t>Duncan</t>
  </si>
  <si>
    <t>Pawlik</t>
  </si>
  <si>
    <t>Zierer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</si>
</sst>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0"/>
      <color rgb="FF000000"/>
      <name val="Arial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2"/>
      <color rgb="FF000000"/>
      <name val="Times New Roman"/>
      <charset val="134"/>
    </font>
    <font>
      <sz val="12"/>
      <color theme="1"/>
      <name val="Calibri"/>
      <charset val="134"/>
    </font>
    <font>
      <sz val="11"/>
      <color rgb="FF000000"/>
      <name val="Calibri"/>
      <charset val="134"/>
    </font>
    <font>
      <sz val="12"/>
      <color theme="1"/>
      <name val="Times New Roman"/>
      <charset val="134"/>
    </font>
    <font>
      <sz val="10"/>
      <color theme="1"/>
      <name val="Arial"/>
      <charset val="134"/>
      <scheme val="minor"/>
    </font>
    <font>
      <sz val="10"/>
      <color rgb="FF000000"/>
      <name val="Times New Roman"/>
      <charset val="134"/>
    </font>
    <font>
      <sz val="11"/>
      <color rgb="FF000000"/>
      <name val="Times New Roman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CCCCCC"/>
        <bgColor rgb="FFCCCCCC"/>
      </patternFill>
    </fill>
    <fill>
      <patternFill patternType="solid">
        <fgColor rgb="FFFFE699"/>
        <bgColor rgb="FFFFE699"/>
      </patternFill>
    </fill>
    <fill>
      <patternFill patternType="solid">
        <fgColor rgb="FFC5E0B3"/>
        <bgColor rgb="FFC5E0B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10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2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7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2" fillId="2" borderId="0" xfId="0" applyFont="1" applyFill="1" applyAlignment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1" xfId="0" applyFont="1" applyBorder="1" applyAlignment="1"/>
    <xf numFmtId="0" fontId="10" fillId="0" borderId="0" xfId="0" applyFont="1" applyAlignment="1"/>
    <xf numFmtId="0" fontId="10" fillId="0" borderId="1" xfId="0" applyFont="1" applyBorder="1" applyAlignment="1"/>
    <xf numFmtId="0" fontId="2" fillId="6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994"/>
  <sheetViews>
    <sheetView topLeftCell="N1" workbookViewId="0">
      <selection activeCell="R24" sqref="R24"/>
    </sheetView>
  </sheetViews>
  <sheetFormatPr defaultColWidth="12.6296296296296" defaultRowHeight="15.75" customHeight="1"/>
  <cols>
    <col min="1" max="1" width="19.3796296296296" customWidth="1"/>
    <col min="3" max="3" width="24.25" customWidth="1"/>
    <col min="4" max="4" width="30.3333333333333" customWidth="1"/>
    <col min="5" max="5" width="21.4444444444444" customWidth="1"/>
  </cols>
  <sheetData>
    <row r="1" customHeight="1" spans="1:28">
      <c r="A1" s="2"/>
      <c r="B1" s="18" t="s">
        <v>0</v>
      </c>
      <c r="C1" s="18" t="s">
        <v>1</v>
      </c>
      <c r="D1" s="18" t="s">
        <v>2</v>
      </c>
      <c r="E1" s="18" t="s">
        <v>3</v>
      </c>
      <c r="F1" s="19" t="s">
        <v>4</v>
      </c>
      <c r="H1" s="20"/>
      <c r="I1" s="22" t="s">
        <v>5</v>
      </c>
      <c r="K1" s="23" t="s">
        <v>6</v>
      </c>
      <c r="M1" s="19" t="s">
        <v>7</v>
      </c>
      <c r="O1" s="24" t="s">
        <v>8</v>
      </c>
      <c r="Q1" s="23" t="s">
        <v>9</v>
      </c>
      <c r="S1" s="19" t="s">
        <v>10</v>
      </c>
      <c r="U1" s="20"/>
      <c r="V1" s="23" t="s">
        <v>11</v>
      </c>
      <c r="X1" s="28"/>
      <c r="Y1" s="19" t="s">
        <v>12</v>
      </c>
      <c r="AA1" s="20"/>
      <c r="AB1" s="23" t="s">
        <v>13</v>
      </c>
    </row>
    <row r="2" customHeight="1" spans="1:29">
      <c r="A2" s="1" t="s">
        <v>14</v>
      </c>
      <c r="B2" s="21"/>
      <c r="C2" s="21"/>
      <c r="D2" s="21"/>
      <c r="E2" s="21"/>
      <c r="F2" s="2" t="s">
        <v>15</v>
      </c>
      <c r="G2" s="2" t="s">
        <v>16</v>
      </c>
      <c r="H2" s="2" t="s">
        <v>17</v>
      </c>
      <c r="I2" s="2" t="s">
        <v>15</v>
      </c>
      <c r="J2" s="2" t="s">
        <v>16</v>
      </c>
      <c r="K2" s="2" t="s">
        <v>15</v>
      </c>
      <c r="L2" s="2" t="s">
        <v>16</v>
      </c>
      <c r="M2" s="2" t="s">
        <v>15</v>
      </c>
      <c r="N2" s="2" t="s">
        <v>16</v>
      </c>
      <c r="O2" s="5" t="s">
        <v>15</v>
      </c>
      <c r="P2" s="25" t="s">
        <v>16</v>
      </c>
      <c r="Q2" s="2" t="s">
        <v>15</v>
      </c>
      <c r="R2" s="2" t="s">
        <v>16</v>
      </c>
      <c r="S2" s="2" t="s">
        <v>15</v>
      </c>
      <c r="T2" s="2" t="s">
        <v>16</v>
      </c>
      <c r="U2" s="2" t="s">
        <v>17</v>
      </c>
      <c r="V2" s="2" t="s">
        <v>15</v>
      </c>
      <c r="W2" s="2" t="s">
        <v>16</v>
      </c>
      <c r="X2" s="2" t="s">
        <v>17</v>
      </c>
      <c r="Y2" s="2" t="s">
        <v>15</v>
      </c>
      <c r="Z2" s="2" t="s">
        <v>16</v>
      </c>
      <c r="AA2" s="2" t="s">
        <v>17</v>
      </c>
      <c r="AB2" s="2" t="s">
        <v>15</v>
      </c>
      <c r="AC2" s="2" t="s">
        <v>16</v>
      </c>
    </row>
    <row r="3" customHeight="1" spans="1:29">
      <c r="A3" s="2" t="s">
        <v>18</v>
      </c>
      <c r="B3" s="2" t="s">
        <v>19</v>
      </c>
      <c r="C3" s="2" t="s">
        <v>20</v>
      </c>
      <c r="D3" s="2" t="s">
        <v>21</v>
      </c>
      <c r="E3" s="3" t="s">
        <v>22</v>
      </c>
      <c r="F3" s="3">
        <v>124</v>
      </c>
      <c r="G3" s="3">
        <v>124</v>
      </c>
      <c r="H3" s="3">
        <v>248</v>
      </c>
      <c r="I3" s="3" t="s">
        <v>23</v>
      </c>
      <c r="J3" s="3" t="s">
        <v>24</v>
      </c>
      <c r="K3" s="3">
        <v>6</v>
      </c>
      <c r="L3" s="3">
        <v>3</v>
      </c>
      <c r="M3" s="3">
        <v>94</v>
      </c>
      <c r="N3" s="3">
        <v>97</v>
      </c>
      <c r="O3" s="6">
        <v>31</v>
      </c>
      <c r="P3" s="15">
        <v>31</v>
      </c>
      <c r="Q3" s="3">
        <v>61.5</v>
      </c>
      <c r="R3" s="3">
        <v>61.5</v>
      </c>
      <c r="S3" s="3" t="s">
        <v>25</v>
      </c>
      <c r="T3" s="3" t="s">
        <v>25</v>
      </c>
      <c r="U3" s="3"/>
      <c r="V3" s="3" t="s">
        <v>25</v>
      </c>
      <c r="W3" s="3" t="s">
        <v>25</v>
      </c>
      <c r="X3" s="3"/>
      <c r="Y3" s="3">
        <v>16</v>
      </c>
      <c r="Z3" s="3">
        <v>16</v>
      </c>
      <c r="AA3" s="3">
        <v>32</v>
      </c>
      <c r="AB3" s="3" t="s">
        <v>26</v>
      </c>
      <c r="AC3" s="3" t="s">
        <v>27</v>
      </c>
    </row>
    <row r="4" customHeight="1" spans="1:29">
      <c r="A4" s="2" t="s">
        <v>28</v>
      </c>
      <c r="B4" s="2" t="s">
        <v>29</v>
      </c>
      <c r="C4" s="2" t="s">
        <v>30</v>
      </c>
      <c r="D4" s="2" t="s">
        <v>21</v>
      </c>
      <c r="E4" s="3">
        <v>20</v>
      </c>
      <c r="F4" s="3">
        <v>566</v>
      </c>
      <c r="G4" s="3">
        <v>566</v>
      </c>
      <c r="H4" s="3">
        <f>F4+G4</f>
        <v>1132</v>
      </c>
      <c r="I4" s="3" t="s">
        <v>31</v>
      </c>
      <c r="J4" s="3" t="s">
        <v>32</v>
      </c>
      <c r="K4" s="3">
        <v>63.3</v>
      </c>
      <c r="L4" s="3">
        <v>64.3</v>
      </c>
      <c r="M4" s="3">
        <v>36.7</v>
      </c>
      <c r="N4" s="3">
        <v>35.7</v>
      </c>
      <c r="O4" s="6">
        <v>8.5</v>
      </c>
      <c r="P4" s="15">
        <v>10.4</v>
      </c>
      <c r="Q4" s="3" t="s">
        <v>25</v>
      </c>
      <c r="R4" s="3" t="s">
        <v>25</v>
      </c>
      <c r="S4" s="3">
        <v>127</v>
      </c>
      <c r="T4" s="3">
        <v>126</v>
      </c>
      <c r="U4" s="3">
        <v>253</v>
      </c>
      <c r="V4" s="3">
        <v>53</v>
      </c>
      <c r="W4" s="3">
        <v>53</v>
      </c>
      <c r="X4" s="3">
        <v>106</v>
      </c>
      <c r="Y4" s="3" t="s">
        <v>25</v>
      </c>
      <c r="Z4" s="3" t="s">
        <v>25</v>
      </c>
      <c r="AA4" s="3" t="s">
        <v>25</v>
      </c>
      <c r="AB4" s="3" t="s">
        <v>25</v>
      </c>
      <c r="AC4" s="3" t="s">
        <v>25</v>
      </c>
    </row>
    <row r="5" customHeight="1" spans="1:29">
      <c r="A5" s="2" t="s">
        <v>33</v>
      </c>
      <c r="B5" s="2" t="s">
        <v>34</v>
      </c>
      <c r="C5" s="2" t="s">
        <v>20</v>
      </c>
      <c r="D5" s="2" t="s">
        <v>21</v>
      </c>
      <c r="E5" s="3" t="s">
        <v>35</v>
      </c>
      <c r="F5" s="6">
        <v>28237</v>
      </c>
      <c r="G5" s="6">
        <v>28237</v>
      </c>
      <c r="H5" s="3">
        <v>56474</v>
      </c>
      <c r="I5" s="3" t="s">
        <v>36</v>
      </c>
      <c r="J5" s="3" t="s">
        <v>37</v>
      </c>
      <c r="K5" s="3">
        <v>39.9</v>
      </c>
      <c r="L5" s="3">
        <v>40</v>
      </c>
      <c r="M5" s="3">
        <v>60.1</v>
      </c>
      <c r="N5" s="3">
        <v>60</v>
      </c>
      <c r="O5" s="6" t="s">
        <v>38</v>
      </c>
      <c r="P5" s="6" t="s">
        <v>38</v>
      </c>
      <c r="Q5" s="3" t="s">
        <v>25</v>
      </c>
      <c r="R5" s="3" t="s">
        <v>25</v>
      </c>
      <c r="S5" s="3">
        <v>18278</v>
      </c>
      <c r="T5" s="3">
        <v>18255</v>
      </c>
      <c r="U5" s="3">
        <v>36533</v>
      </c>
      <c r="V5" s="3">
        <v>6774</v>
      </c>
      <c r="W5" s="3">
        <v>6757</v>
      </c>
      <c r="X5" s="3">
        <v>13531</v>
      </c>
      <c r="Y5" s="3">
        <v>6943</v>
      </c>
      <c r="Z5" s="3">
        <v>6905</v>
      </c>
      <c r="AA5" s="3">
        <v>13848</v>
      </c>
      <c r="AB5" s="3" t="s">
        <v>25</v>
      </c>
      <c r="AC5" s="3" t="s">
        <v>25</v>
      </c>
    </row>
    <row r="6" customHeight="1" spans="1:29">
      <c r="A6" s="2" t="s">
        <v>39</v>
      </c>
      <c r="B6" s="2" t="s">
        <v>29</v>
      </c>
      <c r="C6" s="2" t="s">
        <v>40</v>
      </c>
      <c r="D6" s="2" t="s">
        <v>21</v>
      </c>
      <c r="E6" s="3" t="s">
        <v>35</v>
      </c>
      <c r="F6" s="3">
        <v>2077</v>
      </c>
      <c r="G6" s="3">
        <v>2096</v>
      </c>
      <c r="H6" s="3">
        <f>F6+G6</f>
        <v>4173</v>
      </c>
      <c r="I6" s="3" t="s">
        <v>25</v>
      </c>
      <c r="J6" s="3" t="s">
        <v>25</v>
      </c>
      <c r="K6" s="3" t="s">
        <v>25</v>
      </c>
      <c r="L6" s="3" t="s">
        <v>25</v>
      </c>
      <c r="M6" s="3" t="s">
        <v>25</v>
      </c>
      <c r="N6" s="3" t="s">
        <v>25</v>
      </c>
      <c r="O6" s="6" t="s">
        <v>25</v>
      </c>
      <c r="P6" s="15" t="s">
        <v>25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customHeight="1" spans="1:29">
      <c r="A7" s="2" t="s">
        <v>41</v>
      </c>
      <c r="B7" s="2" t="s">
        <v>29</v>
      </c>
      <c r="C7" s="2" t="s">
        <v>20</v>
      </c>
      <c r="D7" s="2" t="s">
        <v>21</v>
      </c>
      <c r="E7" s="3" t="s">
        <v>35</v>
      </c>
      <c r="F7" s="3">
        <v>232</v>
      </c>
      <c r="G7" s="3">
        <v>232</v>
      </c>
      <c r="H7" s="3">
        <v>464</v>
      </c>
      <c r="I7" s="3">
        <v>68</v>
      </c>
      <c r="J7" s="3">
        <v>68</v>
      </c>
      <c r="K7" s="3">
        <v>40.1</v>
      </c>
      <c r="L7" s="3">
        <v>38.4</v>
      </c>
      <c r="M7" s="3">
        <v>59.9</v>
      </c>
      <c r="N7" s="3">
        <v>61.6</v>
      </c>
      <c r="O7" s="6">
        <v>19.4</v>
      </c>
      <c r="P7" s="15">
        <v>17.7</v>
      </c>
      <c r="Q7" s="3" t="s">
        <v>25</v>
      </c>
      <c r="R7" s="3" t="s">
        <v>25</v>
      </c>
      <c r="S7" s="3">
        <v>111</v>
      </c>
      <c r="T7" s="3">
        <v>112</v>
      </c>
      <c r="U7" s="3">
        <v>223</v>
      </c>
      <c r="V7" s="3">
        <v>32</v>
      </c>
      <c r="W7" s="3">
        <v>31</v>
      </c>
      <c r="X7" s="3">
        <v>63</v>
      </c>
      <c r="Y7" s="3" t="s">
        <v>25</v>
      </c>
      <c r="Z7" s="3" t="s">
        <v>25</v>
      </c>
      <c r="AA7" s="3"/>
      <c r="AB7" s="3" t="s">
        <v>25</v>
      </c>
      <c r="AC7" s="3" t="s">
        <v>25</v>
      </c>
    </row>
    <row r="8" customHeight="1" spans="1:29">
      <c r="A8" s="2" t="s">
        <v>42</v>
      </c>
      <c r="B8" s="2" t="s">
        <v>29</v>
      </c>
      <c r="C8" s="2" t="s">
        <v>43</v>
      </c>
      <c r="D8" s="2" t="s">
        <v>21</v>
      </c>
      <c r="E8" s="3">
        <v>15</v>
      </c>
      <c r="F8" s="3">
        <v>1272</v>
      </c>
      <c r="G8" s="3">
        <v>1272</v>
      </c>
      <c r="H8" s="3">
        <f t="shared" ref="H8:H12" si="0">F8+G8</f>
        <v>2544</v>
      </c>
      <c r="I8" s="3" t="s">
        <v>44</v>
      </c>
      <c r="J8" s="3" t="s">
        <v>45</v>
      </c>
      <c r="K8" s="3">
        <v>9.3</v>
      </c>
      <c r="L8" s="3">
        <v>12.1</v>
      </c>
      <c r="M8" s="3">
        <v>90.7</v>
      </c>
      <c r="N8" s="3">
        <v>87.9</v>
      </c>
      <c r="O8" s="6" t="s">
        <v>25</v>
      </c>
      <c r="P8" s="15" t="s">
        <v>25</v>
      </c>
      <c r="Q8" s="3" t="s">
        <v>25</v>
      </c>
      <c r="R8" s="3" t="s">
        <v>25</v>
      </c>
      <c r="S8" s="3">
        <v>361</v>
      </c>
      <c r="T8" s="3">
        <v>357</v>
      </c>
      <c r="U8" s="3">
        <v>718</v>
      </c>
      <c r="V8" s="3">
        <v>118</v>
      </c>
      <c r="W8" s="3">
        <v>121</v>
      </c>
      <c r="X8" s="3">
        <v>239</v>
      </c>
      <c r="Y8" s="3">
        <v>40</v>
      </c>
      <c r="Z8" s="3">
        <v>36</v>
      </c>
      <c r="AA8" s="3">
        <v>76</v>
      </c>
      <c r="AB8" s="3" t="s">
        <v>46</v>
      </c>
      <c r="AC8" s="3" t="s">
        <v>47</v>
      </c>
    </row>
    <row r="9" customHeight="1" spans="1:29">
      <c r="A9" s="2" t="s">
        <v>48</v>
      </c>
      <c r="B9" s="2" t="s">
        <v>29</v>
      </c>
      <c r="C9" s="2" t="s">
        <v>49</v>
      </c>
      <c r="D9" s="2" t="s">
        <v>50</v>
      </c>
      <c r="E9" s="3">
        <v>8</v>
      </c>
      <c r="F9" s="3">
        <v>4343</v>
      </c>
      <c r="G9" s="3">
        <v>7424</v>
      </c>
      <c r="H9" s="3">
        <f t="shared" si="0"/>
        <v>11767</v>
      </c>
      <c r="I9" s="3">
        <v>72.9</v>
      </c>
      <c r="J9" s="3">
        <v>70.2</v>
      </c>
      <c r="K9" s="3">
        <v>13.3</v>
      </c>
      <c r="L9" s="3">
        <v>18.7</v>
      </c>
      <c r="M9" s="3">
        <v>86.7</v>
      </c>
      <c r="N9" s="3">
        <v>81.3</v>
      </c>
      <c r="O9" s="6" t="s">
        <v>38</v>
      </c>
      <c r="P9" s="6" t="s">
        <v>38</v>
      </c>
      <c r="Q9" s="3" t="s">
        <v>25</v>
      </c>
      <c r="R9" s="3" t="s">
        <v>25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customHeight="1" spans="1:29">
      <c r="A10" s="2" t="s">
        <v>51</v>
      </c>
      <c r="B10" s="2" t="s">
        <v>29</v>
      </c>
      <c r="C10" s="2" t="s">
        <v>43</v>
      </c>
      <c r="D10" s="5" t="s">
        <v>52</v>
      </c>
      <c r="E10" s="3">
        <v>5.6</v>
      </c>
      <c r="F10" s="3">
        <v>764</v>
      </c>
      <c r="G10" s="3">
        <v>1489</v>
      </c>
      <c r="H10" s="3">
        <f t="shared" si="0"/>
        <v>2253</v>
      </c>
      <c r="I10" s="3" t="s">
        <v>53</v>
      </c>
      <c r="J10" s="3" t="s">
        <v>54</v>
      </c>
      <c r="K10" s="3">
        <v>63.6</v>
      </c>
      <c r="L10" s="3">
        <v>54.7</v>
      </c>
      <c r="M10" s="3">
        <v>36.4</v>
      </c>
      <c r="N10" s="3">
        <v>45.3</v>
      </c>
      <c r="O10" s="6">
        <v>11</v>
      </c>
      <c r="P10" s="15">
        <v>20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Height="1" spans="1:29">
      <c r="A11" s="2" t="s">
        <v>55</v>
      </c>
      <c r="B11" s="2" t="s">
        <v>29</v>
      </c>
      <c r="C11" s="2" t="s">
        <v>56</v>
      </c>
      <c r="D11" s="2" t="s">
        <v>21</v>
      </c>
      <c r="E11" s="3" t="s">
        <v>35</v>
      </c>
      <c r="F11" s="6">
        <v>34647</v>
      </c>
      <c r="G11" s="6">
        <v>34647</v>
      </c>
      <c r="H11" s="3">
        <f t="shared" si="0"/>
        <v>69294</v>
      </c>
      <c r="I11" s="3">
        <v>72.1</v>
      </c>
      <c r="J11" s="3">
        <v>70.1</v>
      </c>
      <c r="K11" s="3">
        <v>48.4</v>
      </c>
      <c r="L11" s="3">
        <v>48.4</v>
      </c>
      <c r="M11" s="3">
        <v>51.6</v>
      </c>
      <c r="N11" s="3">
        <v>51.6</v>
      </c>
      <c r="O11" s="6" t="s">
        <v>38</v>
      </c>
      <c r="P11" s="6" t="s">
        <v>38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customHeight="1" spans="1:29">
      <c r="A12" s="2" t="s">
        <v>57</v>
      </c>
      <c r="B12" s="2" t="s">
        <v>29</v>
      </c>
      <c r="C12" s="2" t="s">
        <v>58</v>
      </c>
      <c r="D12" s="2" t="s">
        <v>21</v>
      </c>
      <c r="E12" s="3">
        <v>15</v>
      </c>
      <c r="F12" s="3">
        <v>2814</v>
      </c>
      <c r="G12" s="3">
        <v>2814</v>
      </c>
      <c r="H12" s="3">
        <f t="shared" si="0"/>
        <v>5628</v>
      </c>
      <c r="I12" s="3" t="s">
        <v>59</v>
      </c>
      <c r="J12" s="3" t="s">
        <v>60</v>
      </c>
      <c r="K12" s="3">
        <v>24.4</v>
      </c>
      <c r="L12" s="3">
        <v>24.8</v>
      </c>
      <c r="M12" s="3">
        <v>75.6</v>
      </c>
      <c r="N12" s="3">
        <v>75.2</v>
      </c>
      <c r="O12" s="6">
        <v>7.3</v>
      </c>
      <c r="P12" s="15">
        <v>7.7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customHeight="1" spans="1:29">
      <c r="A13" s="5" t="s">
        <v>61</v>
      </c>
      <c r="B13" s="5" t="s">
        <v>29</v>
      </c>
      <c r="C13" s="5" t="s">
        <v>62</v>
      </c>
      <c r="D13" s="2" t="s">
        <v>21</v>
      </c>
      <c r="E13" s="6">
        <v>5.8</v>
      </c>
      <c r="F13" s="6">
        <v>763</v>
      </c>
      <c r="G13" s="6">
        <v>763</v>
      </c>
      <c r="H13" s="6">
        <v>1526</v>
      </c>
      <c r="I13" s="6">
        <v>67</v>
      </c>
      <c r="J13" s="6">
        <v>67</v>
      </c>
      <c r="K13" s="6">
        <v>59.9</v>
      </c>
      <c r="L13" s="6">
        <v>59.4</v>
      </c>
      <c r="M13" s="6">
        <v>40.1</v>
      </c>
      <c r="N13" s="6">
        <v>40.6</v>
      </c>
      <c r="O13" s="6">
        <v>18</v>
      </c>
      <c r="P13" s="15">
        <v>17.4</v>
      </c>
      <c r="Q13" s="6">
        <v>60</v>
      </c>
      <c r="R13" s="6">
        <v>60</v>
      </c>
      <c r="S13" s="6">
        <v>637</v>
      </c>
      <c r="T13" s="6">
        <v>645</v>
      </c>
      <c r="U13" s="6">
        <v>1282</v>
      </c>
      <c r="V13" s="6">
        <v>240</v>
      </c>
      <c r="W13" s="6">
        <v>243</v>
      </c>
      <c r="X13" s="6">
        <v>483</v>
      </c>
      <c r="Y13" s="6">
        <v>94</v>
      </c>
      <c r="Z13" s="6">
        <v>83</v>
      </c>
      <c r="AA13" s="6">
        <v>177</v>
      </c>
      <c r="AB13" s="6">
        <v>28.3</v>
      </c>
      <c r="AC13" s="6">
        <v>28.2</v>
      </c>
    </row>
    <row r="14" customHeight="1" spans="1:29">
      <c r="A14" s="5" t="s">
        <v>63</v>
      </c>
      <c r="B14" s="5" t="s">
        <v>29</v>
      </c>
      <c r="C14" s="5" t="s">
        <v>64</v>
      </c>
      <c r="D14" s="5" t="s">
        <v>65</v>
      </c>
      <c r="E14" s="6">
        <v>2</v>
      </c>
      <c r="F14" s="6">
        <v>243</v>
      </c>
      <c r="G14" s="6">
        <v>433</v>
      </c>
      <c r="H14" s="6">
        <v>676</v>
      </c>
      <c r="I14" s="6" t="s">
        <v>66</v>
      </c>
      <c r="J14" s="6" t="s">
        <v>67</v>
      </c>
      <c r="K14" s="6" t="s">
        <v>38</v>
      </c>
      <c r="L14" s="6" t="s">
        <v>38</v>
      </c>
      <c r="M14" s="6" t="s">
        <v>68</v>
      </c>
      <c r="N14" s="6" t="s">
        <v>68</v>
      </c>
      <c r="O14" s="6">
        <v>27</v>
      </c>
      <c r="P14" s="15">
        <v>30</v>
      </c>
      <c r="Q14" s="6" t="s">
        <v>69</v>
      </c>
      <c r="R14" s="6" t="s">
        <v>70</v>
      </c>
      <c r="S14" s="6">
        <v>138</v>
      </c>
      <c r="T14" s="6">
        <v>243</v>
      </c>
      <c r="U14" s="6">
        <v>381</v>
      </c>
      <c r="V14" s="6">
        <v>42</v>
      </c>
      <c r="W14" s="6">
        <v>73</v>
      </c>
      <c r="X14" s="6">
        <v>115</v>
      </c>
      <c r="Y14" s="6">
        <v>180</v>
      </c>
      <c r="Z14" s="6">
        <v>313</v>
      </c>
      <c r="AA14" s="6">
        <v>493</v>
      </c>
      <c r="AB14" s="6">
        <v>27.3</v>
      </c>
      <c r="AC14" s="6">
        <v>27.1</v>
      </c>
    </row>
    <row r="15" customHeight="1" spans="6:16">
      <c r="F15" s="12"/>
      <c r="G15" s="12"/>
      <c r="H15" s="13"/>
      <c r="O15" s="26"/>
      <c r="P15" s="27"/>
    </row>
    <row r="16" customHeight="1" spans="15:16">
      <c r="O16" s="26"/>
      <c r="P16" s="27"/>
    </row>
    <row r="17" customHeight="1" spans="15:16">
      <c r="O17" s="26"/>
      <c r="P17" s="27"/>
    </row>
    <row r="18" customHeight="1" spans="15:16">
      <c r="O18" s="26"/>
      <c r="P18" s="27"/>
    </row>
    <row r="19" customHeight="1" spans="15:16">
      <c r="O19" s="26"/>
      <c r="P19" s="27"/>
    </row>
    <row r="20" customHeight="1" spans="15:16">
      <c r="O20" s="26"/>
      <c r="P20" s="27"/>
    </row>
    <row r="21" customHeight="1" spans="15:16">
      <c r="O21" s="26"/>
      <c r="P21" s="27"/>
    </row>
    <row r="22" customHeight="1" spans="15:16">
      <c r="O22" s="26"/>
      <c r="P22" s="27"/>
    </row>
    <row r="23" customHeight="1" spans="15:16">
      <c r="O23" s="26"/>
      <c r="P23" s="27"/>
    </row>
    <row r="24" customHeight="1" spans="15:16">
      <c r="O24" s="26"/>
      <c r="P24" s="27"/>
    </row>
    <row r="25" customHeight="1" spans="15:16">
      <c r="O25" s="26"/>
      <c r="P25" s="27"/>
    </row>
    <row r="26" customHeight="1" spans="15:16">
      <c r="O26" s="26"/>
      <c r="P26" s="27"/>
    </row>
    <row r="27" customHeight="1" spans="15:16">
      <c r="O27" s="26"/>
      <c r="P27" s="27"/>
    </row>
    <row r="28" customHeight="1" spans="15:16">
      <c r="O28" s="26"/>
      <c r="P28" s="27"/>
    </row>
    <row r="29" customHeight="1" spans="15:16">
      <c r="O29" s="26"/>
      <c r="P29" s="27"/>
    </row>
    <row r="30" customHeight="1" spans="15:16">
      <c r="O30" s="26"/>
      <c r="P30" s="27"/>
    </row>
    <row r="31" customHeight="1" spans="15:16">
      <c r="O31" s="26"/>
      <c r="P31" s="27"/>
    </row>
    <row r="32" customHeight="1" spans="15:16">
      <c r="O32" s="26"/>
      <c r="P32" s="27"/>
    </row>
    <row r="33" customHeight="1" spans="15:16">
      <c r="O33" s="26"/>
      <c r="P33" s="27"/>
    </row>
    <row r="34" customHeight="1" spans="15:16">
      <c r="O34" s="26"/>
      <c r="P34" s="27"/>
    </row>
    <row r="35" customHeight="1" spans="15:16">
      <c r="O35" s="26"/>
      <c r="P35" s="27"/>
    </row>
    <row r="36" customHeight="1" spans="15:16">
      <c r="O36" s="26"/>
      <c r="P36" s="27"/>
    </row>
    <row r="37" customHeight="1" spans="15:16">
      <c r="O37" s="26"/>
      <c r="P37" s="27"/>
    </row>
    <row r="38" customHeight="1" spans="15:16">
      <c r="O38" s="26"/>
      <c r="P38" s="27"/>
    </row>
    <row r="39" customHeight="1" spans="15:16">
      <c r="O39" s="26"/>
      <c r="P39" s="27"/>
    </row>
    <row r="40" customHeight="1" spans="15:16">
      <c r="O40" s="26"/>
      <c r="P40" s="27"/>
    </row>
    <row r="41" customHeight="1" spans="15:16">
      <c r="O41" s="26"/>
      <c r="P41" s="27"/>
    </row>
    <row r="42" customHeight="1" spans="15:16">
      <c r="O42" s="26"/>
      <c r="P42" s="27"/>
    </row>
    <row r="43" customHeight="1" spans="15:16">
      <c r="O43" s="26"/>
      <c r="P43" s="27"/>
    </row>
    <row r="44" customHeight="1" spans="15:16">
      <c r="O44" s="26"/>
      <c r="P44" s="27"/>
    </row>
    <row r="45" customHeight="1" spans="15:16">
      <c r="O45" s="26"/>
      <c r="P45" s="27"/>
    </row>
    <row r="46" customHeight="1" spans="15:16">
      <c r="O46" s="26"/>
      <c r="P46" s="27"/>
    </row>
    <row r="47" customHeight="1" spans="15:16">
      <c r="O47" s="26"/>
      <c r="P47" s="27"/>
    </row>
    <row r="48" customHeight="1" spans="15:16">
      <c r="O48" s="26"/>
      <c r="P48" s="27"/>
    </row>
    <row r="49" customHeight="1" spans="15:16">
      <c r="O49" s="26"/>
      <c r="P49" s="27"/>
    </row>
    <row r="50" customHeight="1" spans="15:16">
      <c r="O50" s="26"/>
      <c r="P50" s="27"/>
    </row>
    <row r="51" customHeight="1" spans="15:16">
      <c r="O51" s="26"/>
      <c r="P51" s="27"/>
    </row>
    <row r="52" customHeight="1" spans="15:16">
      <c r="O52" s="26"/>
      <c r="P52" s="27"/>
    </row>
    <row r="53" customHeight="1" spans="15:16">
      <c r="O53" s="26"/>
      <c r="P53" s="27"/>
    </row>
    <row r="54" customHeight="1" spans="15:16">
      <c r="O54" s="26"/>
      <c r="P54" s="27"/>
    </row>
    <row r="55" customHeight="1" spans="15:16">
      <c r="O55" s="26"/>
      <c r="P55" s="27"/>
    </row>
    <row r="56" customHeight="1" spans="15:16">
      <c r="O56" s="26"/>
      <c r="P56" s="27"/>
    </row>
    <row r="57" customHeight="1" spans="15:16">
      <c r="O57" s="26"/>
      <c r="P57" s="27"/>
    </row>
    <row r="58" customHeight="1" spans="15:16">
      <c r="O58" s="26"/>
      <c r="P58" s="27"/>
    </row>
    <row r="59" customHeight="1" spans="15:16">
      <c r="O59" s="26"/>
      <c r="P59" s="27"/>
    </row>
    <row r="60" customHeight="1" spans="15:16">
      <c r="O60" s="26"/>
      <c r="P60" s="27"/>
    </row>
    <row r="61" customHeight="1" spans="15:16">
      <c r="O61" s="26"/>
      <c r="P61" s="27"/>
    </row>
    <row r="62" customHeight="1" spans="15:16">
      <c r="O62" s="26"/>
      <c r="P62" s="27"/>
    </row>
    <row r="63" customHeight="1" spans="15:16">
      <c r="O63" s="26"/>
      <c r="P63" s="27"/>
    </row>
    <row r="64" customHeight="1" spans="15:16">
      <c r="O64" s="26"/>
      <c r="P64" s="27"/>
    </row>
    <row r="65" customHeight="1" spans="15:16">
      <c r="O65" s="26"/>
      <c r="P65" s="27"/>
    </row>
    <row r="66" customHeight="1" spans="15:16">
      <c r="O66" s="26"/>
      <c r="P66" s="27"/>
    </row>
    <row r="67" customHeight="1" spans="15:16">
      <c r="O67" s="26"/>
      <c r="P67" s="27"/>
    </row>
    <row r="68" customHeight="1" spans="15:16">
      <c r="O68" s="26"/>
      <c r="P68" s="27"/>
    </row>
    <row r="69" customHeight="1" spans="15:16">
      <c r="O69" s="26"/>
      <c r="P69" s="27"/>
    </row>
    <row r="70" customHeight="1" spans="15:16">
      <c r="O70" s="26"/>
      <c r="P70" s="27"/>
    </row>
    <row r="71" customHeight="1" spans="15:16">
      <c r="O71" s="26"/>
      <c r="P71" s="27"/>
    </row>
    <row r="72" customHeight="1" spans="15:16">
      <c r="O72" s="26"/>
      <c r="P72" s="27"/>
    </row>
    <row r="73" customHeight="1" spans="15:16">
      <c r="O73" s="26"/>
      <c r="P73" s="27"/>
    </row>
    <row r="74" customHeight="1" spans="15:16">
      <c r="O74" s="26"/>
      <c r="P74" s="27"/>
    </row>
    <row r="75" customHeight="1" spans="15:16">
      <c r="O75" s="26"/>
      <c r="P75" s="27"/>
    </row>
    <row r="76" customHeight="1" spans="15:16">
      <c r="O76" s="26"/>
      <c r="P76" s="27"/>
    </row>
    <row r="77" customHeight="1" spans="15:16">
      <c r="O77" s="26"/>
      <c r="P77" s="27"/>
    </row>
    <row r="78" customHeight="1" spans="15:16">
      <c r="O78" s="26"/>
      <c r="P78" s="27"/>
    </row>
    <row r="79" customHeight="1" spans="15:16">
      <c r="O79" s="26"/>
      <c r="P79" s="27"/>
    </row>
    <row r="80" customHeight="1" spans="15:16">
      <c r="O80" s="26"/>
      <c r="P80" s="27"/>
    </row>
    <row r="81" customHeight="1" spans="15:16">
      <c r="O81" s="26"/>
      <c r="P81" s="27"/>
    </row>
    <row r="82" customHeight="1" spans="15:16">
      <c r="O82" s="26"/>
      <c r="P82" s="27"/>
    </row>
    <row r="83" customHeight="1" spans="15:16">
      <c r="O83" s="26"/>
      <c r="P83" s="27"/>
    </row>
    <row r="84" customHeight="1" spans="15:16">
      <c r="O84" s="26"/>
      <c r="P84" s="27"/>
    </row>
    <row r="85" customHeight="1" spans="15:16">
      <c r="O85" s="26"/>
      <c r="P85" s="27"/>
    </row>
    <row r="86" customHeight="1" spans="15:16">
      <c r="O86" s="26"/>
      <c r="P86" s="27"/>
    </row>
    <row r="87" customHeight="1" spans="15:16">
      <c r="O87" s="26"/>
      <c r="P87" s="27"/>
    </row>
    <row r="88" customHeight="1" spans="15:16">
      <c r="O88" s="26"/>
      <c r="P88" s="27"/>
    </row>
    <row r="89" customHeight="1" spans="15:16">
      <c r="O89" s="26"/>
      <c r="P89" s="27"/>
    </row>
    <row r="90" customHeight="1" spans="15:16">
      <c r="O90" s="26"/>
      <c r="P90" s="27"/>
    </row>
    <row r="91" customHeight="1" spans="15:16">
      <c r="O91" s="26"/>
      <c r="P91" s="27"/>
    </row>
    <row r="92" customHeight="1" spans="15:16">
      <c r="O92" s="26"/>
      <c r="P92" s="27"/>
    </row>
    <row r="93" customHeight="1" spans="15:16">
      <c r="O93" s="26"/>
      <c r="P93" s="27"/>
    </row>
    <row r="94" customHeight="1" spans="15:16">
      <c r="O94" s="26"/>
      <c r="P94" s="27"/>
    </row>
    <row r="95" customHeight="1" spans="15:16">
      <c r="O95" s="26"/>
      <c r="P95" s="27"/>
    </row>
    <row r="96" customHeight="1" spans="15:16">
      <c r="O96" s="26"/>
      <c r="P96" s="27"/>
    </row>
    <row r="97" customHeight="1" spans="15:16">
      <c r="O97" s="26"/>
      <c r="P97" s="27"/>
    </row>
    <row r="98" customHeight="1" spans="15:16">
      <c r="O98" s="26"/>
      <c r="P98" s="27"/>
    </row>
    <row r="99" customHeight="1" spans="15:16">
      <c r="O99" s="26"/>
      <c r="P99" s="27"/>
    </row>
    <row r="100" customHeight="1" spans="15:16">
      <c r="O100" s="26"/>
      <c r="P100" s="27"/>
    </row>
    <row r="101" customHeight="1" spans="15:16">
      <c r="O101" s="26"/>
      <c r="P101" s="27"/>
    </row>
    <row r="102" customHeight="1" spans="15:16">
      <c r="O102" s="26"/>
      <c r="P102" s="27"/>
    </row>
    <row r="103" customHeight="1" spans="15:16">
      <c r="O103" s="26"/>
      <c r="P103" s="27"/>
    </row>
    <row r="104" customHeight="1" spans="15:16">
      <c r="O104" s="26"/>
      <c r="P104" s="27"/>
    </row>
    <row r="105" customHeight="1" spans="15:16">
      <c r="O105" s="26"/>
      <c r="P105" s="27"/>
    </row>
    <row r="106" customHeight="1" spans="15:16">
      <c r="O106" s="26"/>
      <c r="P106" s="27"/>
    </row>
    <row r="107" customHeight="1" spans="15:16">
      <c r="O107" s="26"/>
      <c r="P107" s="27"/>
    </row>
    <row r="108" customHeight="1" spans="15:16">
      <c r="O108" s="26"/>
      <c r="P108" s="27"/>
    </row>
    <row r="109" customHeight="1" spans="15:16">
      <c r="O109" s="26"/>
      <c r="P109" s="27"/>
    </row>
    <row r="110" customHeight="1" spans="15:16">
      <c r="O110" s="26"/>
      <c r="P110" s="27"/>
    </row>
    <row r="111" customHeight="1" spans="15:16">
      <c r="O111" s="26"/>
      <c r="P111" s="27"/>
    </row>
    <row r="112" customHeight="1" spans="15:16">
      <c r="O112" s="26"/>
      <c r="P112" s="27"/>
    </row>
    <row r="113" customHeight="1" spans="15:16">
      <c r="O113" s="26"/>
      <c r="P113" s="27"/>
    </row>
    <row r="114" customHeight="1" spans="15:16">
      <c r="O114" s="26"/>
      <c r="P114" s="27"/>
    </row>
    <row r="115" customHeight="1" spans="15:16">
      <c r="O115" s="26"/>
      <c r="P115" s="27"/>
    </row>
    <row r="116" customHeight="1" spans="15:16">
      <c r="O116" s="26"/>
      <c r="P116" s="27"/>
    </row>
    <row r="117" customHeight="1" spans="15:16">
      <c r="O117" s="26"/>
      <c r="P117" s="27"/>
    </row>
    <row r="118" customHeight="1" spans="15:16">
      <c r="O118" s="26"/>
      <c r="P118" s="27"/>
    </row>
    <row r="119" customHeight="1" spans="15:16">
      <c r="O119" s="26"/>
      <c r="P119" s="27"/>
    </row>
    <row r="120" customHeight="1" spans="15:16">
      <c r="O120" s="26"/>
      <c r="P120" s="27"/>
    </row>
    <row r="121" customHeight="1" spans="15:16">
      <c r="O121" s="26"/>
      <c r="P121" s="27"/>
    </row>
    <row r="122" customHeight="1" spans="15:16">
      <c r="O122" s="26"/>
      <c r="P122" s="27"/>
    </row>
    <row r="123" customHeight="1" spans="15:16">
      <c r="O123" s="26"/>
      <c r="P123" s="27"/>
    </row>
    <row r="124" customHeight="1" spans="15:16">
      <c r="O124" s="26"/>
      <c r="P124" s="27"/>
    </row>
    <row r="125" customHeight="1" spans="15:16">
      <c r="O125" s="26"/>
      <c r="P125" s="27"/>
    </row>
    <row r="126" customHeight="1" spans="15:16">
      <c r="O126" s="26"/>
      <c r="P126" s="27"/>
    </row>
    <row r="127" customHeight="1" spans="15:16">
      <c r="O127" s="26"/>
      <c r="P127" s="27"/>
    </row>
    <row r="128" customHeight="1" spans="15:16">
      <c r="O128" s="26"/>
      <c r="P128" s="27"/>
    </row>
    <row r="129" customHeight="1" spans="15:16">
      <c r="O129" s="26"/>
      <c r="P129" s="27"/>
    </row>
    <row r="130" customHeight="1" spans="15:16">
      <c r="O130" s="26"/>
      <c r="P130" s="27"/>
    </row>
    <row r="131" customHeight="1" spans="15:16">
      <c r="O131" s="26"/>
      <c r="P131" s="27"/>
    </row>
    <row r="132" customHeight="1" spans="15:16">
      <c r="O132" s="26"/>
      <c r="P132" s="27"/>
    </row>
    <row r="133" customHeight="1" spans="15:16">
      <c r="O133" s="26"/>
      <c r="P133" s="27"/>
    </row>
    <row r="134" customHeight="1" spans="15:16">
      <c r="O134" s="26"/>
      <c r="P134" s="27"/>
    </row>
    <row r="135" customHeight="1" spans="15:16">
      <c r="O135" s="26"/>
      <c r="P135" s="27"/>
    </row>
    <row r="136" customHeight="1" spans="15:16">
      <c r="O136" s="26"/>
      <c r="P136" s="27"/>
    </row>
    <row r="137" customHeight="1" spans="15:16">
      <c r="O137" s="26"/>
      <c r="P137" s="27"/>
    </row>
    <row r="138" customHeight="1" spans="15:16">
      <c r="O138" s="26"/>
      <c r="P138" s="27"/>
    </row>
    <row r="139" customHeight="1" spans="15:16">
      <c r="O139" s="26"/>
      <c r="P139" s="27"/>
    </row>
    <row r="140" customHeight="1" spans="15:16">
      <c r="O140" s="26"/>
      <c r="P140" s="27"/>
    </row>
    <row r="141" customHeight="1" spans="15:16">
      <c r="O141" s="26"/>
      <c r="P141" s="27"/>
    </row>
    <row r="142" customHeight="1" spans="15:16">
      <c r="O142" s="26"/>
      <c r="P142" s="27"/>
    </row>
    <row r="143" customHeight="1" spans="15:16">
      <c r="O143" s="26"/>
      <c r="P143" s="27"/>
    </row>
    <row r="144" customHeight="1" spans="15:16">
      <c r="O144" s="26"/>
      <c r="P144" s="27"/>
    </row>
    <row r="145" customHeight="1" spans="15:16">
      <c r="O145" s="26"/>
      <c r="P145" s="27"/>
    </row>
    <row r="146" customHeight="1" spans="15:16">
      <c r="O146" s="26"/>
      <c r="P146" s="27"/>
    </row>
    <row r="147" customHeight="1" spans="15:16">
      <c r="O147" s="26"/>
      <c r="P147" s="27"/>
    </row>
    <row r="148" customHeight="1" spans="15:16">
      <c r="O148" s="26"/>
      <c r="P148" s="27"/>
    </row>
    <row r="149" customHeight="1" spans="15:16">
      <c r="O149" s="26"/>
      <c r="P149" s="27"/>
    </row>
    <row r="150" customHeight="1" spans="15:16">
      <c r="O150" s="26"/>
      <c r="P150" s="27"/>
    </row>
    <row r="151" customHeight="1" spans="15:16">
      <c r="O151" s="26"/>
      <c r="P151" s="27"/>
    </row>
    <row r="152" customHeight="1" spans="15:16">
      <c r="O152" s="26"/>
      <c r="P152" s="27"/>
    </row>
    <row r="153" customHeight="1" spans="15:16">
      <c r="O153" s="26"/>
      <c r="P153" s="27"/>
    </row>
    <row r="154" customHeight="1" spans="15:16">
      <c r="O154" s="26"/>
      <c r="P154" s="27"/>
    </row>
    <row r="155" customHeight="1" spans="15:16">
      <c r="O155" s="26"/>
      <c r="P155" s="27"/>
    </row>
    <row r="156" customHeight="1" spans="15:16">
      <c r="O156" s="26"/>
      <c r="P156" s="27"/>
    </row>
    <row r="157" customHeight="1" spans="15:16">
      <c r="O157" s="26"/>
      <c r="P157" s="27"/>
    </row>
    <row r="158" customHeight="1" spans="15:16">
      <c r="O158" s="26"/>
      <c r="P158" s="27"/>
    </row>
    <row r="159" customHeight="1" spans="15:16">
      <c r="O159" s="26"/>
      <c r="P159" s="27"/>
    </row>
    <row r="160" customHeight="1" spans="15:16">
      <c r="O160" s="26"/>
      <c r="P160" s="27"/>
    </row>
    <row r="161" customHeight="1" spans="15:16">
      <c r="O161" s="26"/>
      <c r="P161" s="27"/>
    </row>
    <row r="162" customHeight="1" spans="15:16">
      <c r="O162" s="26"/>
      <c r="P162" s="27"/>
    </row>
    <row r="163" customHeight="1" spans="15:16">
      <c r="O163" s="26"/>
      <c r="P163" s="27"/>
    </row>
    <row r="164" customHeight="1" spans="15:16">
      <c r="O164" s="26"/>
      <c r="P164" s="27"/>
    </row>
    <row r="165" customHeight="1" spans="15:16">
      <c r="O165" s="26"/>
      <c r="P165" s="27"/>
    </row>
    <row r="166" customHeight="1" spans="15:16">
      <c r="O166" s="26"/>
      <c r="P166" s="27"/>
    </row>
    <row r="167" customHeight="1" spans="15:16">
      <c r="O167" s="26"/>
      <c r="P167" s="27"/>
    </row>
    <row r="168" customHeight="1" spans="15:16">
      <c r="O168" s="26"/>
      <c r="P168" s="27"/>
    </row>
    <row r="169" customHeight="1" spans="15:16">
      <c r="O169" s="26"/>
      <c r="P169" s="27"/>
    </row>
    <row r="170" customHeight="1" spans="15:16">
      <c r="O170" s="26"/>
      <c r="P170" s="27"/>
    </row>
    <row r="171" customHeight="1" spans="15:16">
      <c r="O171" s="26"/>
      <c r="P171" s="27"/>
    </row>
    <row r="172" customHeight="1" spans="15:16">
      <c r="O172" s="26"/>
      <c r="P172" s="27"/>
    </row>
    <row r="173" customHeight="1" spans="15:16">
      <c r="O173" s="26"/>
      <c r="P173" s="27"/>
    </row>
    <row r="174" customHeight="1" spans="15:16">
      <c r="O174" s="26"/>
      <c r="P174" s="27"/>
    </row>
    <row r="175" customHeight="1" spans="15:16">
      <c r="O175" s="26"/>
      <c r="P175" s="27"/>
    </row>
    <row r="176" customHeight="1" spans="15:16">
      <c r="O176" s="26"/>
      <c r="P176" s="27"/>
    </row>
    <row r="177" customHeight="1" spans="15:16">
      <c r="O177" s="26"/>
      <c r="P177" s="27"/>
    </row>
    <row r="178" customHeight="1" spans="15:16">
      <c r="O178" s="26"/>
      <c r="P178" s="27"/>
    </row>
    <row r="179" customHeight="1" spans="15:16">
      <c r="O179" s="26"/>
      <c r="P179" s="27"/>
    </row>
    <row r="180" customHeight="1" spans="15:16">
      <c r="O180" s="26"/>
      <c r="P180" s="27"/>
    </row>
    <row r="181" customHeight="1" spans="15:16">
      <c r="O181" s="26"/>
      <c r="P181" s="27"/>
    </row>
    <row r="182" customHeight="1" spans="15:16">
      <c r="O182" s="26"/>
      <c r="P182" s="27"/>
    </row>
    <row r="183" customHeight="1" spans="15:16">
      <c r="O183" s="26"/>
      <c r="P183" s="27"/>
    </row>
    <row r="184" customHeight="1" spans="15:16">
      <c r="O184" s="26"/>
      <c r="P184" s="27"/>
    </row>
    <row r="185" customHeight="1" spans="15:16">
      <c r="O185" s="26"/>
      <c r="P185" s="27"/>
    </row>
    <row r="186" customHeight="1" spans="15:16">
      <c r="O186" s="26"/>
      <c r="P186" s="27"/>
    </row>
    <row r="187" customHeight="1" spans="15:16">
      <c r="O187" s="26"/>
      <c r="P187" s="27"/>
    </row>
    <row r="188" customHeight="1" spans="15:16">
      <c r="O188" s="26"/>
      <c r="P188" s="27"/>
    </row>
    <row r="189" customHeight="1" spans="15:16">
      <c r="O189" s="26"/>
      <c r="P189" s="27"/>
    </row>
    <row r="190" customHeight="1" spans="15:16">
      <c r="O190" s="26"/>
      <c r="P190" s="27"/>
    </row>
    <row r="191" customHeight="1" spans="15:16">
      <c r="O191" s="26"/>
      <c r="P191" s="27"/>
    </row>
    <row r="192" customHeight="1" spans="15:16">
      <c r="O192" s="26"/>
      <c r="P192" s="27"/>
    </row>
    <row r="193" customHeight="1" spans="15:16">
      <c r="O193" s="26"/>
      <c r="P193" s="27"/>
    </row>
    <row r="194" customHeight="1" spans="15:16">
      <c r="O194" s="26"/>
      <c r="P194" s="27"/>
    </row>
    <row r="195" customHeight="1" spans="15:16">
      <c r="O195" s="26"/>
      <c r="P195" s="27"/>
    </row>
    <row r="196" customHeight="1" spans="15:16">
      <c r="O196" s="26"/>
      <c r="P196" s="27"/>
    </row>
    <row r="197" customHeight="1" spans="15:16">
      <c r="O197" s="26"/>
      <c r="P197" s="27"/>
    </row>
    <row r="198" customHeight="1" spans="15:16">
      <c r="O198" s="26"/>
      <c r="P198" s="27"/>
    </row>
    <row r="199" customHeight="1" spans="15:16">
      <c r="O199" s="26"/>
      <c r="P199" s="27"/>
    </row>
    <row r="200" customHeight="1" spans="15:16">
      <c r="O200" s="26"/>
      <c r="P200" s="27"/>
    </row>
    <row r="201" customHeight="1" spans="15:16">
      <c r="O201" s="26"/>
      <c r="P201" s="27"/>
    </row>
    <row r="202" customHeight="1" spans="15:16">
      <c r="O202" s="26"/>
      <c r="P202" s="27"/>
    </row>
    <row r="203" customHeight="1" spans="15:16">
      <c r="O203" s="26"/>
      <c r="P203" s="27"/>
    </row>
    <row r="204" customHeight="1" spans="15:16">
      <c r="O204" s="26"/>
      <c r="P204" s="27"/>
    </row>
    <row r="205" customHeight="1" spans="15:16">
      <c r="O205" s="26"/>
      <c r="P205" s="27"/>
    </row>
    <row r="206" customHeight="1" spans="15:16">
      <c r="O206" s="26"/>
      <c r="P206" s="27"/>
    </row>
    <row r="207" customHeight="1" spans="15:16">
      <c r="O207" s="26"/>
      <c r="P207" s="27"/>
    </row>
    <row r="208" customHeight="1" spans="15:16">
      <c r="O208" s="26"/>
      <c r="P208" s="27"/>
    </row>
    <row r="209" customHeight="1" spans="15:16">
      <c r="O209" s="26"/>
      <c r="P209" s="27"/>
    </row>
    <row r="210" customHeight="1" spans="15:16">
      <c r="O210" s="26"/>
      <c r="P210" s="27"/>
    </row>
    <row r="211" customHeight="1" spans="15:16">
      <c r="O211" s="26"/>
      <c r="P211" s="27"/>
    </row>
    <row r="212" customHeight="1" spans="15:16">
      <c r="O212" s="26"/>
      <c r="P212" s="27"/>
    </row>
    <row r="213" customHeight="1" spans="15:16">
      <c r="O213" s="26"/>
      <c r="P213" s="27"/>
    </row>
    <row r="214" customHeight="1" spans="15:16">
      <c r="O214" s="26"/>
      <c r="P214" s="27"/>
    </row>
    <row r="215" customHeight="1" spans="15:16">
      <c r="O215" s="26"/>
      <c r="P215" s="27"/>
    </row>
    <row r="216" customHeight="1" spans="15:16">
      <c r="O216" s="26"/>
      <c r="P216" s="27"/>
    </row>
    <row r="217" customHeight="1" spans="15:16">
      <c r="O217" s="26"/>
      <c r="P217" s="27"/>
    </row>
    <row r="218" customHeight="1" spans="15:16">
      <c r="O218" s="26"/>
      <c r="P218" s="27"/>
    </row>
    <row r="219" customHeight="1" spans="15:16">
      <c r="O219" s="26"/>
      <c r="P219" s="27"/>
    </row>
    <row r="220" customHeight="1" spans="15:16">
      <c r="O220" s="26"/>
      <c r="P220" s="27"/>
    </row>
    <row r="221" customHeight="1" spans="15:16">
      <c r="O221" s="26"/>
      <c r="P221" s="27"/>
    </row>
    <row r="222" customHeight="1" spans="15:16">
      <c r="O222" s="26"/>
      <c r="P222" s="27"/>
    </row>
    <row r="223" customHeight="1" spans="15:16">
      <c r="O223" s="26"/>
      <c r="P223" s="27"/>
    </row>
    <row r="224" customHeight="1" spans="15:16">
      <c r="O224" s="26"/>
      <c r="P224" s="27"/>
    </row>
    <row r="225" customHeight="1" spans="15:16">
      <c r="O225" s="26"/>
      <c r="P225" s="27"/>
    </row>
    <row r="226" customHeight="1" spans="15:16">
      <c r="O226" s="26"/>
      <c r="P226" s="27"/>
    </row>
    <row r="227" customHeight="1" spans="15:16">
      <c r="O227" s="26"/>
      <c r="P227" s="27"/>
    </row>
    <row r="228" customHeight="1" spans="15:16">
      <c r="O228" s="26"/>
      <c r="P228" s="27"/>
    </row>
    <row r="229" customHeight="1" spans="15:16">
      <c r="O229" s="26"/>
      <c r="P229" s="27"/>
    </row>
    <row r="230" customHeight="1" spans="15:16">
      <c r="O230" s="26"/>
      <c r="P230" s="27"/>
    </row>
    <row r="231" customHeight="1" spans="15:16">
      <c r="O231" s="26"/>
      <c r="P231" s="27"/>
    </row>
    <row r="232" customHeight="1" spans="15:16">
      <c r="O232" s="26"/>
      <c r="P232" s="27"/>
    </row>
    <row r="233" customHeight="1" spans="15:16">
      <c r="O233" s="26"/>
      <c r="P233" s="27"/>
    </row>
    <row r="234" customHeight="1" spans="15:16">
      <c r="O234" s="26"/>
      <c r="P234" s="27"/>
    </row>
    <row r="235" customHeight="1" spans="15:16">
      <c r="O235" s="26"/>
      <c r="P235" s="27"/>
    </row>
    <row r="236" customHeight="1" spans="15:16">
      <c r="O236" s="26"/>
      <c r="P236" s="27"/>
    </row>
    <row r="237" customHeight="1" spans="15:16">
      <c r="O237" s="26"/>
      <c r="P237" s="27"/>
    </row>
    <row r="238" customHeight="1" spans="15:16">
      <c r="O238" s="26"/>
      <c r="P238" s="27"/>
    </row>
    <row r="239" customHeight="1" spans="15:16">
      <c r="O239" s="26"/>
      <c r="P239" s="27"/>
    </row>
    <row r="240" customHeight="1" spans="15:16">
      <c r="O240" s="26"/>
      <c r="P240" s="27"/>
    </row>
    <row r="241" customHeight="1" spans="15:16">
      <c r="O241" s="26"/>
      <c r="P241" s="27"/>
    </row>
    <row r="242" customHeight="1" spans="15:16">
      <c r="O242" s="26"/>
      <c r="P242" s="27"/>
    </row>
    <row r="243" customHeight="1" spans="15:16">
      <c r="O243" s="26"/>
      <c r="P243" s="27"/>
    </row>
    <row r="244" customHeight="1" spans="15:16">
      <c r="O244" s="26"/>
      <c r="P244" s="27"/>
    </row>
    <row r="245" customHeight="1" spans="15:16">
      <c r="O245" s="26"/>
      <c r="P245" s="27"/>
    </row>
    <row r="246" customHeight="1" spans="15:16">
      <c r="O246" s="26"/>
      <c r="P246" s="27"/>
    </row>
    <row r="247" customHeight="1" spans="15:16">
      <c r="O247" s="26"/>
      <c r="P247" s="27"/>
    </row>
    <row r="248" customHeight="1" spans="15:16">
      <c r="O248" s="26"/>
      <c r="P248" s="27"/>
    </row>
    <row r="249" customHeight="1" spans="15:16">
      <c r="O249" s="26"/>
      <c r="P249" s="27"/>
    </row>
    <row r="250" customHeight="1" spans="15:16">
      <c r="O250" s="26"/>
      <c r="P250" s="27"/>
    </row>
    <row r="251" customHeight="1" spans="15:16">
      <c r="O251" s="26"/>
      <c r="P251" s="27"/>
    </row>
    <row r="252" customHeight="1" spans="15:16">
      <c r="O252" s="26"/>
      <c r="P252" s="27"/>
    </row>
    <row r="253" customHeight="1" spans="15:16">
      <c r="O253" s="26"/>
      <c r="P253" s="27"/>
    </row>
    <row r="254" customHeight="1" spans="15:16">
      <c r="O254" s="26"/>
      <c r="P254" s="27"/>
    </row>
    <row r="255" customHeight="1" spans="15:16">
      <c r="O255" s="26"/>
      <c r="P255" s="27"/>
    </row>
    <row r="256" customHeight="1" spans="15:16">
      <c r="O256" s="26"/>
      <c r="P256" s="27"/>
    </row>
    <row r="257" customHeight="1" spans="15:16">
      <c r="O257" s="26"/>
      <c r="P257" s="27"/>
    </row>
    <row r="258" customHeight="1" spans="15:16">
      <c r="O258" s="26"/>
      <c r="P258" s="27"/>
    </row>
    <row r="259" customHeight="1" spans="15:16">
      <c r="O259" s="26"/>
      <c r="P259" s="27"/>
    </row>
    <row r="260" customHeight="1" spans="15:16">
      <c r="O260" s="26"/>
      <c r="P260" s="27"/>
    </row>
    <row r="261" customHeight="1" spans="15:16">
      <c r="O261" s="26"/>
      <c r="P261" s="27"/>
    </row>
    <row r="262" customHeight="1" spans="15:16">
      <c r="O262" s="26"/>
      <c r="P262" s="27"/>
    </row>
    <row r="263" customHeight="1" spans="15:16">
      <c r="O263" s="26"/>
      <c r="P263" s="27"/>
    </row>
    <row r="264" customHeight="1" spans="15:16">
      <c r="O264" s="26"/>
      <c r="P264" s="27"/>
    </row>
    <row r="265" customHeight="1" spans="15:16">
      <c r="O265" s="26"/>
      <c r="P265" s="27"/>
    </row>
    <row r="266" customHeight="1" spans="15:16">
      <c r="O266" s="26"/>
      <c r="P266" s="27"/>
    </row>
    <row r="267" customHeight="1" spans="15:16">
      <c r="O267" s="26"/>
      <c r="P267" s="27"/>
    </row>
    <row r="268" customHeight="1" spans="15:16">
      <c r="O268" s="26"/>
      <c r="P268" s="27"/>
    </row>
    <row r="269" customHeight="1" spans="15:16">
      <c r="O269" s="26"/>
      <c r="P269" s="27"/>
    </row>
    <row r="270" customHeight="1" spans="15:16">
      <c r="O270" s="26"/>
      <c r="P270" s="27"/>
    </row>
    <row r="271" customHeight="1" spans="15:16">
      <c r="O271" s="26"/>
      <c r="P271" s="27"/>
    </row>
    <row r="272" customHeight="1" spans="15:16">
      <c r="O272" s="26"/>
      <c r="P272" s="27"/>
    </row>
    <row r="273" customHeight="1" spans="15:16">
      <c r="O273" s="26"/>
      <c r="P273" s="27"/>
    </row>
    <row r="274" customHeight="1" spans="15:16">
      <c r="O274" s="26"/>
      <c r="P274" s="27"/>
    </row>
    <row r="275" customHeight="1" spans="15:16">
      <c r="O275" s="26"/>
      <c r="P275" s="27"/>
    </row>
    <row r="276" customHeight="1" spans="15:16">
      <c r="O276" s="26"/>
      <c r="P276" s="27"/>
    </row>
    <row r="277" customHeight="1" spans="15:16">
      <c r="O277" s="26"/>
      <c r="P277" s="27"/>
    </row>
    <row r="278" customHeight="1" spans="15:16">
      <c r="O278" s="26"/>
      <c r="P278" s="27"/>
    </row>
    <row r="279" customHeight="1" spans="15:16">
      <c r="O279" s="26"/>
      <c r="P279" s="27"/>
    </row>
    <row r="280" customHeight="1" spans="15:16">
      <c r="O280" s="26"/>
      <c r="P280" s="27"/>
    </row>
    <row r="281" customHeight="1" spans="15:16">
      <c r="O281" s="26"/>
      <c r="P281" s="27"/>
    </row>
    <row r="282" customHeight="1" spans="15:16">
      <c r="O282" s="26"/>
      <c r="P282" s="27"/>
    </row>
    <row r="283" customHeight="1" spans="15:16">
      <c r="O283" s="26"/>
      <c r="P283" s="27"/>
    </row>
    <row r="284" customHeight="1" spans="15:16">
      <c r="O284" s="26"/>
      <c r="P284" s="27"/>
    </row>
    <row r="285" customHeight="1" spans="15:16">
      <c r="O285" s="26"/>
      <c r="P285" s="27"/>
    </row>
    <row r="286" customHeight="1" spans="15:16">
      <c r="O286" s="26"/>
      <c r="P286" s="27"/>
    </row>
    <row r="287" customHeight="1" spans="15:16">
      <c r="O287" s="26"/>
      <c r="P287" s="27"/>
    </row>
    <row r="288" customHeight="1" spans="15:16">
      <c r="O288" s="26"/>
      <c r="P288" s="27"/>
    </row>
    <row r="289" customHeight="1" spans="15:16">
      <c r="O289" s="26"/>
      <c r="P289" s="27"/>
    </row>
    <row r="290" customHeight="1" spans="15:16">
      <c r="O290" s="26"/>
      <c r="P290" s="27"/>
    </row>
    <row r="291" customHeight="1" spans="15:16">
      <c r="O291" s="26"/>
      <c r="P291" s="27"/>
    </row>
    <row r="292" customHeight="1" spans="15:16">
      <c r="O292" s="26"/>
      <c r="P292" s="27"/>
    </row>
    <row r="293" customHeight="1" spans="15:16">
      <c r="O293" s="26"/>
      <c r="P293" s="27"/>
    </row>
    <row r="294" customHeight="1" spans="15:16">
      <c r="O294" s="26"/>
      <c r="P294" s="27"/>
    </row>
    <row r="295" customHeight="1" spans="15:16">
      <c r="O295" s="26"/>
      <c r="P295" s="27"/>
    </row>
    <row r="296" customHeight="1" spans="15:16">
      <c r="O296" s="26"/>
      <c r="P296" s="27"/>
    </row>
    <row r="297" customHeight="1" spans="15:16">
      <c r="O297" s="26"/>
      <c r="P297" s="27"/>
    </row>
    <row r="298" customHeight="1" spans="15:16">
      <c r="O298" s="26"/>
      <c r="P298" s="27"/>
    </row>
    <row r="299" customHeight="1" spans="15:16">
      <c r="O299" s="26"/>
      <c r="P299" s="27"/>
    </row>
    <row r="300" customHeight="1" spans="15:16">
      <c r="O300" s="26"/>
      <c r="P300" s="27"/>
    </row>
    <row r="301" customHeight="1" spans="15:16">
      <c r="O301" s="26"/>
      <c r="P301" s="27"/>
    </row>
    <row r="302" customHeight="1" spans="15:16">
      <c r="O302" s="26"/>
      <c r="P302" s="27"/>
    </row>
    <row r="303" customHeight="1" spans="15:16">
      <c r="O303" s="26"/>
      <c r="P303" s="27"/>
    </row>
    <row r="304" customHeight="1" spans="15:16">
      <c r="O304" s="26"/>
      <c r="P304" s="27"/>
    </row>
    <row r="305" customHeight="1" spans="15:16">
      <c r="O305" s="26"/>
      <c r="P305" s="27"/>
    </row>
    <row r="306" customHeight="1" spans="15:16">
      <c r="O306" s="26"/>
      <c r="P306" s="27"/>
    </row>
    <row r="307" customHeight="1" spans="15:16">
      <c r="O307" s="26"/>
      <c r="P307" s="27"/>
    </row>
    <row r="308" customHeight="1" spans="15:16">
      <c r="O308" s="26"/>
      <c r="P308" s="27"/>
    </row>
    <row r="309" customHeight="1" spans="15:16">
      <c r="O309" s="26"/>
      <c r="P309" s="27"/>
    </row>
    <row r="310" customHeight="1" spans="15:16">
      <c r="O310" s="26"/>
      <c r="P310" s="27"/>
    </row>
    <row r="311" customHeight="1" spans="15:16">
      <c r="O311" s="26"/>
      <c r="P311" s="27"/>
    </row>
    <row r="312" customHeight="1" spans="15:16">
      <c r="O312" s="26"/>
      <c r="P312" s="27"/>
    </row>
    <row r="313" customHeight="1" spans="15:16">
      <c r="O313" s="26"/>
      <c r="P313" s="27"/>
    </row>
    <row r="314" customHeight="1" spans="15:16">
      <c r="O314" s="26"/>
      <c r="P314" s="27"/>
    </row>
    <row r="315" customHeight="1" spans="15:16">
      <c r="O315" s="26"/>
      <c r="P315" s="27"/>
    </row>
    <row r="316" customHeight="1" spans="15:16">
      <c r="O316" s="26"/>
      <c r="P316" s="27"/>
    </row>
    <row r="317" customHeight="1" spans="15:16">
      <c r="O317" s="26"/>
      <c r="P317" s="27"/>
    </row>
    <row r="318" customHeight="1" spans="15:16">
      <c r="O318" s="26"/>
      <c r="P318" s="27"/>
    </row>
    <row r="319" customHeight="1" spans="15:16">
      <c r="O319" s="26"/>
      <c r="P319" s="27"/>
    </row>
    <row r="320" customHeight="1" spans="15:16">
      <c r="O320" s="26"/>
      <c r="P320" s="27"/>
    </row>
    <row r="321" customHeight="1" spans="15:16">
      <c r="O321" s="26"/>
      <c r="P321" s="27"/>
    </row>
    <row r="322" customHeight="1" spans="15:16">
      <c r="O322" s="26"/>
      <c r="P322" s="27"/>
    </row>
    <row r="323" customHeight="1" spans="15:16">
      <c r="O323" s="26"/>
      <c r="P323" s="27"/>
    </row>
    <row r="324" customHeight="1" spans="15:16">
      <c r="O324" s="26"/>
      <c r="P324" s="27"/>
    </row>
    <row r="325" customHeight="1" spans="15:16">
      <c r="O325" s="26"/>
      <c r="P325" s="27"/>
    </row>
    <row r="326" customHeight="1" spans="15:16">
      <c r="O326" s="26"/>
      <c r="P326" s="27"/>
    </row>
    <row r="327" customHeight="1" spans="15:16">
      <c r="O327" s="26"/>
      <c r="P327" s="27"/>
    </row>
    <row r="328" customHeight="1" spans="15:16">
      <c r="O328" s="26"/>
      <c r="P328" s="27"/>
    </row>
    <row r="329" customHeight="1" spans="15:16">
      <c r="O329" s="26"/>
      <c r="P329" s="27"/>
    </row>
    <row r="330" customHeight="1" spans="15:16">
      <c r="O330" s="26"/>
      <c r="P330" s="27"/>
    </row>
    <row r="331" customHeight="1" spans="15:16">
      <c r="O331" s="26"/>
      <c r="P331" s="27"/>
    </row>
    <row r="332" customHeight="1" spans="15:16">
      <c r="O332" s="26"/>
      <c r="P332" s="27"/>
    </row>
    <row r="333" customHeight="1" spans="15:16">
      <c r="O333" s="26"/>
      <c r="P333" s="27"/>
    </row>
    <row r="334" customHeight="1" spans="15:16">
      <c r="O334" s="26"/>
      <c r="P334" s="27"/>
    </row>
    <row r="335" customHeight="1" spans="15:16">
      <c r="O335" s="26"/>
      <c r="P335" s="27"/>
    </row>
    <row r="336" customHeight="1" spans="15:16">
      <c r="O336" s="26"/>
      <c r="P336" s="27"/>
    </row>
    <row r="337" customHeight="1" spans="15:16">
      <c r="O337" s="26"/>
      <c r="P337" s="27"/>
    </row>
    <row r="338" customHeight="1" spans="15:16">
      <c r="O338" s="26"/>
      <c r="P338" s="27"/>
    </row>
    <row r="339" customHeight="1" spans="15:16">
      <c r="O339" s="26"/>
      <c r="P339" s="27"/>
    </row>
    <row r="340" customHeight="1" spans="15:16">
      <c r="O340" s="26"/>
      <c r="P340" s="27"/>
    </row>
    <row r="341" customHeight="1" spans="15:16">
      <c r="O341" s="26"/>
      <c r="P341" s="27"/>
    </row>
    <row r="342" customHeight="1" spans="15:16">
      <c r="O342" s="26"/>
      <c r="P342" s="27"/>
    </row>
    <row r="343" customHeight="1" spans="15:16">
      <c r="O343" s="26"/>
      <c r="P343" s="27"/>
    </row>
    <row r="344" customHeight="1" spans="15:16">
      <c r="O344" s="26"/>
      <c r="P344" s="27"/>
    </row>
    <row r="345" customHeight="1" spans="15:16">
      <c r="O345" s="26"/>
      <c r="P345" s="27"/>
    </row>
    <row r="346" customHeight="1" spans="15:16">
      <c r="O346" s="26"/>
      <c r="P346" s="27"/>
    </row>
    <row r="347" customHeight="1" spans="15:16">
      <c r="O347" s="26"/>
      <c r="P347" s="27"/>
    </row>
    <row r="348" customHeight="1" spans="15:16">
      <c r="O348" s="26"/>
      <c r="P348" s="27"/>
    </row>
    <row r="349" customHeight="1" spans="15:16">
      <c r="O349" s="26"/>
      <c r="P349" s="27"/>
    </row>
    <row r="350" customHeight="1" spans="15:16">
      <c r="O350" s="26"/>
      <c r="P350" s="27"/>
    </row>
    <row r="351" customHeight="1" spans="15:16">
      <c r="O351" s="26"/>
      <c r="P351" s="27"/>
    </row>
    <row r="352" customHeight="1" spans="15:16">
      <c r="O352" s="26"/>
      <c r="P352" s="27"/>
    </row>
    <row r="353" customHeight="1" spans="15:16">
      <c r="O353" s="26"/>
      <c r="P353" s="27"/>
    </row>
    <row r="354" customHeight="1" spans="15:16">
      <c r="O354" s="26"/>
      <c r="P354" s="27"/>
    </row>
    <row r="355" customHeight="1" spans="15:16">
      <c r="O355" s="26"/>
      <c r="P355" s="27"/>
    </row>
    <row r="356" customHeight="1" spans="15:16">
      <c r="O356" s="26"/>
      <c r="P356" s="27"/>
    </row>
    <row r="357" customHeight="1" spans="15:16">
      <c r="O357" s="26"/>
      <c r="P357" s="27"/>
    </row>
    <row r="358" customHeight="1" spans="15:16">
      <c r="O358" s="26"/>
      <c r="P358" s="27"/>
    </row>
    <row r="359" customHeight="1" spans="15:16">
      <c r="O359" s="26"/>
      <c r="P359" s="27"/>
    </row>
    <row r="360" customHeight="1" spans="15:16">
      <c r="O360" s="26"/>
      <c r="P360" s="27"/>
    </row>
    <row r="361" customHeight="1" spans="15:16">
      <c r="O361" s="26"/>
      <c r="P361" s="27"/>
    </row>
    <row r="362" customHeight="1" spans="15:16">
      <c r="O362" s="26"/>
      <c r="P362" s="27"/>
    </row>
    <row r="363" customHeight="1" spans="15:16">
      <c r="O363" s="26"/>
      <c r="P363" s="27"/>
    </row>
    <row r="364" customHeight="1" spans="15:16">
      <c r="O364" s="26"/>
      <c r="P364" s="27"/>
    </row>
    <row r="365" customHeight="1" spans="15:16">
      <c r="O365" s="26"/>
      <c r="P365" s="27"/>
    </row>
    <row r="366" customHeight="1" spans="15:16">
      <c r="O366" s="26"/>
      <c r="P366" s="27"/>
    </row>
    <row r="367" customHeight="1" spans="15:16">
      <c r="O367" s="26"/>
      <c r="P367" s="27"/>
    </row>
    <row r="368" customHeight="1" spans="15:16">
      <c r="O368" s="26"/>
      <c r="P368" s="27"/>
    </row>
    <row r="369" customHeight="1" spans="15:16">
      <c r="O369" s="26"/>
      <c r="P369" s="27"/>
    </row>
    <row r="370" customHeight="1" spans="15:16">
      <c r="O370" s="26"/>
      <c r="P370" s="27"/>
    </row>
    <row r="371" customHeight="1" spans="15:16">
      <c r="O371" s="26"/>
      <c r="P371" s="27"/>
    </row>
    <row r="372" customHeight="1" spans="15:16">
      <c r="O372" s="26"/>
      <c r="P372" s="27"/>
    </row>
    <row r="373" customHeight="1" spans="15:16">
      <c r="O373" s="26"/>
      <c r="P373" s="27"/>
    </row>
    <row r="374" customHeight="1" spans="15:16">
      <c r="O374" s="26"/>
      <c r="P374" s="27"/>
    </row>
    <row r="375" customHeight="1" spans="15:16">
      <c r="O375" s="26"/>
      <c r="P375" s="27"/>
    </row>
    <row r="376" customHeight="1" spans="15:16">
      <c r="O376" s="26"/>
      <c r="P376" s="27"/>
    </row>
    <row r="377" customHeight="1" spans="15:16">
      <c r="O377" s="26"/>
      <c r="P377" s="27"/>
    </row>
    <row r="378" customHeight="1" spans="15:16">
      <c r="O378" s="26"/>
      <c r="P378" s="27"/>
    </row>
    <row r="379" customHeight="1" spans="15:16">
      <c r="O379" s="26"/>
      <c r="P379" s="27"/>
    </row>
    <row r="380" customHeight="1" spans="15:16">
      <c r="O380" s="26"/>
      <c r="P380" s="27"/>
    </row>
    <row r="381" customHeight="1" spans="15:16">
      <c r="O381" s="26"/>
      <c r="P381" s="27"/>
    </row>
    <row r="382" customHeight="1" spans="15:16">
      <c r="O382" s="26"/>
      <c r="P382" s="27"/>
    </row>
    <row r="383" customHeight="1" spans="15:16">
      <c r="O383" s="26"/>
      <c r="P383" s="27"/>
    </row>
    <row r="384" customHeight="1" spans="15:16">
      <c r="O384" s="26"/>
      <c r="P384" s="27"/>
    </row>
    <row r="385" customHeight="1" spans="15:16">
      <c r="O385" s="26"/>
      <c r="P385" s="27"/>
    </row>
    <row r="386" customHeight="1" spans="15:16">
      <c r="O386" s="26"/>
      <c r="P386" s="27"/>
    </row>
    <row r="387" customHeight="1" spans="15:16">
      <c r="O387" s="26"/>
      <c r="P387" s="27"/>
    </row>
    <row r="388" customHeight="1" spans="15:16">
      <c r="O388" s="26"/>
      <c r="P388" s="27"/>
    </row>
    <row r="389" customHeight="1" spans="15:16">
      <c r="O389" s="26"/>
      <c r="P389" s="27"/>
    </row>
    <row r="390" customHeight="1" spans="15:16">
      <c r="O390" s="26"/>
      <c r="P390" s="27"/>
    </row>
    <row r="391" customHeight="1" spans="15:16">
      <c r="O391" s="26"/>
      <c r="P391" s="27"/>
    </row>
    <row r="392" customHeight="1" spans="15:16">
      <c r="O392" s="26"/>
      <c r="P392" s="27"/>
    </row>
    <row r="393" customHeight="1" spans="15:16">
      <c r="O393" s="26"/>
      <c r="P393" s="27"/>
    </row>
    <row r="394" customHeight="1" spans="15:16">
      <c r="O394" s="26"/>
      <c r="P394" s="27"/>
    </row>
    <row r="395" customHeight="1" spans="15:16">
      <c r="O395" s="26"/>
      <c r="P395" s="27"/>
    </row>
    <row r="396" customHeight="1" spans="15:16">
      <c r="O396" s="26"/>
      <c r="P396" s="27"/>
    </row>
    <row r="397" customHeight="1" spans="15:16">
      <c r="O397" s="26"/>
      <c r="P397" s="27"/>
    </row>
    <row r="398" customHeight="1" spans="15:16">
      <c r="O398" s="26"/>
      <c r="P398" s="27"/>
    </row>
    <row r="399" customHeight="1" spans="15:16">
      <c r="O399" s="26"/>
      <c r="P399" s="27"/>
    </row>
    <row r="400" customHeight="1" spans="15:16">
      <c r="O400" s="26"/>
      <c r="P400" s="27"/>
    </row>
    <row r="401" customHeight="1" spans="15:16">
      <c r="O401" s="26"/>
      <c r="P401" s="27"/>
    </row>
    <row r="402" customHeight="1" spans="15:16">
      <c r="O402" s="26"/>
      <c r="P402" s="27"/>
    </row>
    <row r="403" customHeight="1" spans="15:16">
      <c r="O403" s="26"/>
      <c r="P403" s="27"/>
    </row>
    <row r="404" customHeight="1" spans="15:16">
      <c r="O404" s="26"/>
      <c r="P404" s="27"/>
    </row>
    <row r="405" customHeight="1" spans="15:16">
      <c r="O405" s="26"/>
      <c r="P405" s="27"/>
    </row>
    <row r="406" customHeight="1" spans="15:16">
      <c r="O406" s="26"/>
      <c r="P406" s="27"/>
    </row>
    <row r="407" customHeight="1" spans="15:16">
      <c r="O407" s="26"/>
      <c r="P407" s="27"/>
    </row>
    <row r="408" customHeight="1" spans="15:16">
      <c r="O408" s="26"/>
      <c r="P408" s="27"/>
    </row>
    <row r="409" customHeight="1" spans="15:16">
      <c r="O409" s="26"/>
      <c r="P409" s="27"/>
    </row>
    <row r="410" customHeight="1" spans="15:16">
      <c r="O410" s="26"/>
      <c r="P410" s="27"/>
    </row>
    <row r="411" customHeight="1" spans="15:16">
      <c r="O411" s="26"/>
      <c r="P411" s="27"/>
    </row>
    <row r="412" customHeight="1" spans="15:16">
      <c r="O412" s="26"/>
      <c r="P412" s="27"/>
    </row>
    <row r="413" customHeight="1" spans="15:16">
      <c r="O413" s="26"/>
      <c r="P413" s="27"/>
    </row>
    <row r="414" customHeight="1" spans="15:16">
      <c r="O414" s="26"/>
      <c r="P414" s="27"/>
    </row>
    <row r="415" customHeight="1" spans="15:16">
      <c r="O415" s="26"/>
      <c r="P415" s="27"/>
    </row>
    <row r="416" customHeight="1" spans="15:16">
      <c r="O416" s="26"/>
      <c r="P416" s="27"/>
    </row>
    <row r="417" customHeight="1" spans="15:16">
      <c r="O417" s="26"/>
      <c r="P417" s="27"/>
    </row>
    <row r="418" customHeight="1" spans="15:16">
      <c r="O418" s="26"/>
      <c r="P418" s="27"/>
    </row>
    <row r="419" customHeight="1" spans="15:16">
      <c r="O419" s="26"/>
      <c r="P419" s="27"/>
    </row>
    <row r="420" customHeight="1" spans="15:16">
      <c r="O420" s="26"/>
      <c r="P420" s="27"/>
    </row>
    <row r="421" customHeight="1" spans="15:16">
      <c r="O421" s="26"/>
      <c r="P421" s="27"/>
    </row>
    <row r="422" customHeight="1" spans="15:16">
      <c r="O422" s="26"/>
      <c r="P422" s="27"/>
    </row>
    <row r="423" customHeight="1" spans="15:16">
      <c r="O423" s="26"/>
      <c r="P423" s="27"/>
    </row>
    <row r="424" customHeight="1" spans="15:16">
      <c r="O424" s="26"/>
      <c r="P424" s="27"/>
    </row>
    <row r="425" customHeight="1" spans="15:16">
      <c r="O425" s="26"/>
      <c r="P425" s="27"/>
    </row>
    <row r="426" customHeight="1" spans="15:16">
      <c r="O426" s="26"/>
      <c r="P426" s="27"/>
    </row>
    <row r="427" customHeight="1" spans="15:16">
      <c r="O427" s="26"/>
      <c r="P427" s="27"/>
    </row>
    <row r="428" customHeight="1" spans="15:16">
      <c r="O428" s="26"/>
      <c r="P428" s="27"/>
    </row>
    <row r="429" customHeight="1" spans="15:16">
      <c r="O429" s="26"/>
      <c r="P429" s="27"/>
    </row>
    <row r="430" customHeight="1" spans="15:16">
      <c r="O430" s="26"/>
      <c r="P430" s="27"/>
    </row>
    <row r="431" customHeight="1" spans="15:16">
      <c r="O431" s="26"/>
      <c r="P431" s="27"/>
    </row>
    <row r="432" customHeight="1" spans="15:16">
      <c r="O432" s="26"/>
      <c r="P432" s="27"/>
    </row>
    <row r="433" customHeight="1" spans="15:16">
      <c r="O433" s="26"/>
      <c r="P433" s="27"/>
    </row>
    <row r="434" customHeight="1" spans="15:16">
      <c r="O434" s="26"/>
      <c r="P434" s="27"/>
    </row>
    <row r="435" customHeight="1" spans="15:16">
      <c r="O435" s="26"/>
      <c r="P435" s="27"/>
    </row>
    <row r="436" customHeight="1" spans="15:16">
      <c r="O436" s="26"/>
      <c r="P436" s="27"/>
    </row>
    <row r="437" customHeight="1" spans="15:16">
      <c r="O437" s="26"/>
      <c r="P437" s="27"/>
    </row>
    <row r="438" customHeight="1" spans="15:16">
      <c r="O438" s="26"/>
      <c r="P438" s="27"/>
    </row>
    <row r="439" customHeight="1" spans="15:16">
      <c r="O439" s="26"/>
      <c r="P439" s="27"/>
    </row>
    <row r="440" customHeight="1" spans="15:16">
      <c r="O440" s="26"/>
      <c r="P440" s="27"/>
    </row>
    <row r="441" customHeight="1" spans="15:16">
      <c r="O441" s="26"/>
      <c r="P441" s="27"/>
    </row>
    <row r="442" customHeight="1" spans="15:16">
      <c r="O442" s="26"/>
      <c r="P442" s="27"/>
    </row>
    <row r="443" customHeight="1" spans="15:16">
      <c r="O443" s="26"/>
      <c r="P443" s="27"/>
    </row>
    <row r="444" customHeight="1" spans="15:16">
      <c r="O444" s="26"/>
      <c r="P444" s="27"/>
    </row>
    <row r="445" customHeight="1" spans="15:16">
      <c r="O445" s="26"/>
      <c r="P445" s="27"/>
    </row>
    <row r="446" customHeight="1" spans="15:16">
      <c r="O446" s="26"/>
      <c r="P446" s="27"/>
    </row>
    <row r="447" customHeight="1" spans="15:16">
      <c r="O447" s="26"/>
      <c r="P447" s="27"/>
    </row>
    <row r="448" customHeight="1" spans="15:16">
      <c r="O448" s="26"/>
      <c r="P448" s="27"/>
    </row>
    <row r="449" customHeight="1" spans="15:16">
      <c r="O449" s="26"/>
      <c r="P449" s="27"/>
    </row>
    <row r="450" customHeight="1" spans="15:16">
      <c r="O450" s="26"/>
      <c r="P450" s="27"/>
    </row>
    <row r="451" customHeight="1" spans="15:16">
      <c r="O451" s="26"/>
      <c r="P451" s="27"/>
    </row>
    <row r="452" customHeight="1" spans="15:16">
      <c r="O452" s="26"/>
      <c r="P452" s="27"/>
    </row>
    <row r="453" customHeight="1" spans="15:16">
      <c r="O453" s="26"/>
      <c r="P453" s="27"/>
    </row>
    <row r="454" customHeight="1" spans="15:16">
      <c r="O454" s="26"/>
      <c r="P454" s="27"/>
    </row>
    <row r="455" customHeight="1" spans="15:16">
      <c r="O455" s="26"/>
      <c r="P455" s="27"/>
    </row>
    <row r="456" customHeight="1" spans="15:16">
      <c r="O456" s="26"/>
      <c r="P456" s="27"/>
    </row>
    <row r="457" customHeight="1" spans="15:16">
      <c r="O457" s="26"/>
      <c r="P457" s="27"/>
    </row>
    <row r="458" customHeight="1" spans="15:16">
      <c r="O458" s="26"/>
      <c r="P458" s="27"/>
    </row>
    <row r="459" customHeight="1" spans="15:16">
      <c r="O459" s="26"/>
      <c r="P459" s="27"/>
    </row>
    <row r="460" customHeight="1" spans="15:16">
      <c r="O460" s="26"/>
      <c r="P460" s="27"/>
    </row>
    <row r="461" customHeight="1" spans="15:16">
      <c r="O461" s="26"/>
      <c r="P461" s="27"/>
    </row>
    <row r="462" customHeight="1" spans="15:16">
      <c r="O462" s="26"/>
      <c r="P462" s="27"/>
    </row>
    <row r="463" customHeight="1" spans="15:16">
      <c r="O463" s="26"/>
      <c r="P463" s="27"/>
    </row>
    <row r="464" customHeight="1" spans="15:16">
      <c r="O464" s="26"/>
      <c r="P464" s="27"/>
    </row>
    <row r="465" customHeight="1" spans="15:16">
      <c r="O465" s="26"/>
      <c r="P465" s="27"/>
    </row>
    <row r="466" customHeight="1" spans="15:16">
      <c r="O466" s="26"/>
      <c r="P466" s="27"/>
    </row>
    <row r="467" customHeight="1" spans="15:16">
      <c r="O467" s="26"/>
      <c r="P467" s="27"/>
    </row>
    <row r="468" customHeight="1" spans="15:16">
      <c r="O468" s="26"/>
      <c r="P468" s="27"/>
    </row>
    <row r="469" customHeight="1" spans="15:16">
      <c r="O469" s="26"/>
      <c r="P469" s="27"/>
    </row>
    <row r="470" customHeight="1" spans="15:16">
      <c r="O470" s="26"/>
      <c r="P470" s="27"/>
    </row>
    <row r="471" customHeight="1" spans="15:16">
      <c r="O471" s="26"/>
      <c r="P471" s="27"/>
    </row>
    <row r="472" customHeight="1" spans="15:16">
      <c r="O472" s="26"/>
      <c r="P472" s="27"/>
    </row>
    <row r="473" customHeight="1" spans="15:16">
      <c r="O473" s="26"/>
      <c r="P473" s="27"/>
    </row>
    <row r="474" customHeight="1" spans="15:16">
      <c r="O474" s="26"/>
      <c r="P474" s="27"/>
    </row>
    <row r="475" customHeight="1" spans="15:16">
      <c r="O475" s="26"/>
      <c r="P475" s="27"/>
    </row>
    <row r="476" customHeight="1" spans="15:16">
      <c r="O476" s="26"/>
      <c r="P476" s="27"/>
    </row>
    <row r="477" customHeight="1" spans="15:16">
      <c r="O477" s="26"/>
      <c r="P477" s="27"/>
    </row>
    <row r="478" customHeight="1" spans="15:16">
      <c r="O478" s="26"/>
      <c r="P478" s="27"/>
    </row>
    <row r="479" customHeight="1" spans="15:16">
      <c r="O479" s="26"/>
      <c r="P479" s="27"/>
    </row>
    <row r="480" customHeight="1" spans="15:16">
      <c r="O480" s="26"/>
      <c r="P480" s="27"/>
    </row>
    <row r="481" customHeight="1" spans="15:16">
      <c r="O481" s="26"/>
      <c r="P481" s="27"/>
    </row>
    <row r="482" customHeight="1" spans="15:16">
      <c r="O482" s="26"/>
      <c r="P482" s="27"/>
    </row>
    <row r="483" customHeight="1" spans="15:16">
      <c r="O483" s="26"/>
      <c r="P483" s="27"/>
    </row>
    <row r="484" customHeight="1" spans="15:16">
      <c r="O484" s="26"/>
      <c r="P484" s="27"/>
    </row>
    <row r="485" customHeight="1" spans="15:16">
      <c r="O485" s="26"/>
      <c r="P485" s="27"/>
    </row>
    <row r="486" customHeight="1" spans="15:16">
      <c r="O486" s="26"/>
      <c r="P486" s="27"/>
    </row>
    <row r="487" customHeight="1" spans="15:16">
      <c r="O487" s="26"/>
      <c r="P487" s="27"/>
    </row>
    <row r="488" customHeight="1" spans="15:16">
      <c r="O488" s="26"/>
      <c r="P488" s="27"/>
    </row>
    <row r="489" customHeight="1" spans="15:16">
      <c r="O489" s="26"/>
      <c r="P489" s="27"/>
    </row>
    <row r="490" customHeight="1" spans="15:16">
      <c r="O490" s="26"/>
      <c r="P490" s="27"/>
    </row>
    <row r="491" customHeight="1" spans="15:16">
      <c r="O491" s="26"/>
      <c r="P491" s="27"/>
    </row>
    <row r="492" customHeight="1" spans="15:16">
      <c r="O492" s="26"/>
      <c r="P492" s="27"/>
    </row>
    <row r="493" customHeight="1" spans="15:16">
      <c r="O493" s="26"/>
      <c r="P493" s="27"/>
    </row>
    <row r="494" customHeight="1" spans="15:16">
      <c r="O494" s="26"/>
      <c r="P494" s="27"/>
    </row>
    <row r="495" customHeight="1" spans="15:16">
      <c r="O495" s="26"/>
      <c r="P495" s="27"/>
    </row>
    <row r="496" customHeight="1" spans="15:16">
      <c r="O496" s="26"/>
      <c r="P496" s="27"/>
    </row>
    <row r="497" customHeight="1" spans="15:16">
      <c r="O497" s="26"/>
      <c r="P497" s="27"/>
    </row>
    <row r="498" customHeight="1" spans="15:16">
      <c r="O498" s="26"/>
      <c r="P498" s="27"/>
    </row>
    <row r="499" customHeight="1" spans="15:16">
      <c r="O499" s="26"/>
      <c r="P499" s="27"/>
    </row>
    <row r="500" customHeight="1" spans="15:16">
      <c r="O500" s="26"/>
      <c r="P500" s="27"/>
    </row>
    <row r="501" customHeight="1" spans="15:16">
      <c r="O501" s="26"/>
      <c r="P501" s="27"/>
    </row>
    <row r="502" customHeight="1" spans="15:16">
      <c r="O502" s="26"/>
      <c r="P502" s="27"/>
    </row>
    <row r="503" customHeight="1" spans="15:16">
      <c r="O503" s="26"/>
      <c r="P503" s="27"/>
    </row>
    <row r="504" customHeight="1" spans="15:16">
      <c r="O504" s="26"/>
      <c r="P504" s="27"/>
    </row>
    <row r="505" customHeight="1" spans="15:16">
      <c r="O505" s="26"/>
      <c r="P505" s="27"/>
    </row>
    <row r="506" customHeight="1" spans="15:16">
      <c r="O506" s="26"/>
      <c r="P506" s="27"/>
    </row>
    <row r="507" customHeight="1" spans="15:16">
      <c r="O507" s="26"/>
      <c r="P507" s="27"/>
    </row>
    <row r="508" customHeight="1" spans="15:16">
      <c r="O508" s="26"/>
      <c r="P508" s="27"/>
    </row>
    <row r="509" customHeight="1" spans="15:16">
      <c r="O509" s="26"/>
      <c r="P509" s="27"/>
    </row>
    <row r="510" customHeight="1" spans="15:16">
      <c r="O510" s="26"/>
      <c r="P510" s="27"/>
    </row>
    <row r="511" customHeight="1" spans="15:16">
      <c r="O511" s="26"/>
      <c r="P511" s="27"/>
    </row>
    <row r="512" customHeight="1" spans="15:16">
      <c r="O512" s="26"/>
      <c r="P512" s="27"/>
    </row>
    <row r="513" customHeight="1" spans="15:16">
      <c r="O513" s="26"/>
      <c r="P513" s="27"/>
    </row>
    <row r="514" customHeight="1" spans="15:16">
      <c r="O514" s="26"/>
      <c r="P514" s="27"/>
    </row>
    <row r="515" customHeight="1" spans="15:16">
      <c r="O515" s="26"/>
      <c r="P515" s="27"/>
    </row>
    <row r="516" customHeight="1" spans="15:16">
      <c r="O516" s="26"/>
      <c r="P516" s="27"/>
    </row>
    <row r="517" customHeight="1" spans="15:16">
      <c r="O517" s="26"/>
      <c r="P517" s="27"/>
    </row>
    <row r="518" customHeight="1" spans="15:16">
      <c r="O518" s="26"/>
      <c r="P518" s="27"/>
    </row>
    <row r="519" customHeight="1" spans="15:16">
      <c r="O519" s="26"/>
      <c r="P519" s="27"/>
    </row>
    <row r="520" customHeight="1" spans="15:16">
      <c r="O520" s="26"/>
      <c r="P520" s="27"/>
    </row>
    <row r="521" customHeight="1" spans="15:16">
      <c r="O521" s="26"/>
      <c r="P521" s="27"/>
    </row>
    <row r="522" customHeight="1" spans="15:16">
      <c r="O522" s="26"/>
      <c r="P522" s="27"/>
    </row>
    <row r="523" customHeight="1" spans="15:16">
      <c r="O523" s="26"/>
      <c r="P523" s="27"/>
    </row>
    <row r="524" customHeight="1" spans="15:16">
      <c r="O524" s="26"/>
      <c r="P524" s="27"/>
    </row>
    <row r="525" customHeight="1" spans="15:16">
      <c r="O525" s="26"/>
      <c r="P525" s="27"/>
    </row>
    <row r="526" customHeight="1" spans="15:16">
      <c r="O526" s="26"/>
      <c r="P526" s="27"/>
    </row>
    <row r="527" customHeight="1" spans="15:16">
      <c r="O527" s="26"/>
      <c r="P527" s="27"/>
    </row>
    <row r="528" customHeight="1" spans="15:16">
      <c r="O528" s="26"/>
      <c r="P528" s="27"/>
    </row>
    <row r="529" customHeight="1" spans="15:16">
      <c r="O529" s="26"/>
      <c r="P529" s="27"/>
    </row>
    <row r="530" customHeight="1" spans="15:16">
      <c r="O530" s="26"/>
      <c r="P530" s="27"/>
    </row>
    <row r="531" customHeight="1" spans="15:16">
      <c r="O531" s="26"/>
      <c r="P531" s="27"/>
    </row>
    <row r="532" customHeight="1" spans="15:16">
      <c r="O532" s="26"/>
      <c r="P532" s="27"/>
    </row>
    <row r="533" customHeight="1" spans="15:16">
      <c r="O533" s="26"/>
      <c r="P533" s="27"/>
    </row>
    <row r="534" customHeight="1" spans="15:16">
      <c r="O534" s="26"/>
      <c r="P534" s="27"/>
    </row>
    <row r="535" customHeight="1" spans="15:16">
      <c r="O535" s="26"/>
      <c r="P535" s="27"/>
    </row>
    <row r="536" customHeight="1" spans="15:16">
      <c r="O536" s="26"/>
      <c r="P536" s="27"/>
    </row>
    <row r="537" customHeight="1" spans="15:16">
      <c r="O537" s="26"/>
      <c r="P537" s="27"/>
    </row>
    <row r="538" customHeight="1" spans="15:16">
      <c r="O538" s="26"/>
      <c r="P538" s="27"/>
    </row>
    <row r="539" customHeight="1" spans="15:16">
      <c r="O539" s="26"/>
      <c r="P539" s="27"/>
    </row>
    <row r="540" customHeight="1" spans="15:16">
      <c r="O540" s="26"/>
      <c r="P540" s="27"/>
    </row>
    <row r="541" customHeight="1" spans="15:16">
      <c r="O541" s="26"/>
      <c r="P541" s="27"/>
    </row>
    <row r="542" customHeight="1" spans="15:16">
      <c r="O542" s="26"/>
      <c r="P542" s="27"/>
    </row>
    <row r="543" customHeight="1" spans="15:16">
      <c r="O543" s="26"/>
      <c r="P543" s="27"/>
    </row>
    <row r="544" customHeight="1" spans="15:16">
      <c r="O544" s="26"/>
      <c r="P544" s="27"/>
    </row>
    <row r="545" customHeight="1" spans="15:16">
      <c r="O545" s="26"/>
      <c r="P545" s="27"/>
    </row>
    <row r="546" customHeight="1" spans="15:16">
      <c r="O546" s="26"/>
      <c r="P546" s="27"/>
    </row>
    <row r="547" customHeight="1" spans="15:16">
      <c r="O547" s="26"/>
      <c r="P547" s="27"/>
    </row>
    <row r="548" customHeight="1" spans="15:16">
      <c r="O548" s="26"/>
      <c r="P548" s="27"/>
    </row>
    <row r="549" customHeight="1" spans="15:16">
      <c r="O549" s="26"/>
      <c r="P549" s="27"/>
    </row>
    <row r="550" customHeight="1" spans="15:16">
      <c r="O550" s="26"/>
      <c r="P550" s="27"/>
    </row>
    <row r="551" customHeight="1" spans="15:16">
      <c r="O551" s="26"/>
      <c r="P551" s="27"/>
    </row>
    <row r="552" customHeight="1" spans="15:16">
      <c r="O552" s="26"/>
      <c r="P552" s="27"/>
    </row>
    <row r="553" customHeight="1" spans="15:16">
      <c r="O553" s="26"/>
      <c r="P553" s="27"/>
    </row>
    <row r="554" customHeight="1" spans="15:16">
      <c r="O554" s="26"/>
      <c r="P554" s="27"/>
    </row>
    <row r="555" customHeight="1" spans="15:16">
      <c r="O555" s="26"/>
      <c r="P555" s="27"/>
    </row>
    <row r="556" customHeight="1" spans="15:16">
      <c r="O556" s="26"/>
      <c r="P556" s="27"/>
    </row>
    <row r="557" customHeight="1" spans="15:16">
      <c r="O557" s="26"/>
      <c r="P557" s="27"/>
    </row>
    <row r="558" customHeight="1" spans="15:16">
      <c r="O558" s="26"/>
      <c r="P558" s="27"/>
    </row>
    <row r="559" customHeight="1" spans="15:16">
      <c r="O559" s="26"/>
      <c r="P559" s="27"/>
    </row>
    <row r="560" customHeight="1" spans="15:16">
      <c r="O560" s="26"/>
      <c r="P560" s="27"/>
    </row>
    <row r="561" customHeight="1" spans="15:16">
      <c r="O561" s="26"/>
      <c r="P561" s="27"/>
    </row>
    <row r="562" customHeight="1" spans="15:16">
      <c r="O562" s="26"/>
      <c r="P562" s="27"/>
    </row>
    <row r="563" customHeight="1" spans="15:16">
      <c r="O563" s="26"/>
      <c r="P563" s="27"/>
    </row>
    <row r="564" customHeight="1" spans="15:16">
      <c r="O564" s="26"/>
      <c r="P564" s="27"/>
    </row>
    <row r="565" customHeight="1" spans="15:16">
      <c r="O565" s="26"/>
      <c r="P565" s="27"/>
    </row>
    <row r="566" customHeight="1" spans="15:16">
      <c r="O566" s="26"/>
      <c r="P566" s="27"/>
    </row>
    <row r="567" customHeight="1" spans="15:16">
      <c r="O567" s="26"/>
      <c r="P567" s="27"/>
    </row>
    <row r="568" customHeight="1" spans="15:16">
      <c r="O568" s="26"/>
      <c r="P568" s="27"/>
    </row>
    <row r="569" customHeight="1" spans="15:16">
      <c r="O569" s="26"/>
      <c r="P569" s="27"/>
    </row>
    <row r="570" customHeight="1" spans="15:16">
      <c r="O570" s="26"/>
      <c r="P570" s="27"/>
    </row>
    <row r="571" customHeight="1" spans="15:16">
      <c r="O571" s="26"/>
      <c r="P571" s="27"/>
    </row>
    <row r="572" customHeight="1" spans="15:16">
      <c r="O572" s="26"/>
      <c r="P572" s="27"/>
    </row>
    <row r="573" customHeight="1" spans="15:16">
      <c r="O573" s="26"/>
      <c r="P573" s="27"/>
    </row>
    <row r="574" customHeight="1" spans="15:16">
      <c r="O574" s="26"/>
      <c r="P574" s="27"/>
    </row>
    <row r="575" customHeight="1" spans="15:16">
      <c r="O575" s="26"/>
      <c r="P575" s="27"/>
    </row>
    <row r="576" customHeight="1" spans="15:16">
      <c r="O576" s="26"/>
      <c r="P576" s="27"/>
    </row>
    <row r="577" customHeight="1" spans="15:16">
      <c r="O577" s="26"/>
      <c r="P577" s="27"/>
    </row>
    <row r="578" customHeight="1" spans="15:16">
      <c r="O578" s="26"/>
      <c r="P578" s="27"/>
    </row>
    <row r="579" customHeight="1" spans="15:16">
      <c r="O579" s="26"/>
      <c r="P579" s="27"/>
    </row>
    <row r="580" customHeight="1" spans="15:16">
      <c r="O580" s="26"/>
      <c r="P580" s="27"/>
    </row>
    <row r="581" customHeight="1" spans="15:16">
      <c r="O581" s="26"/>
      <c r="P581" s="27"/>
    </row>
    <row r="582" customHeight="1" spans="15:16">
      <c r="O582" s="26"/>
      <c r="P582" s="27"/>
    </row>
    <row r="583" customHeight="1" spans="15:16">
      <c r="O583" s="26"/>
      <c r="P583" s="27"/>
    </row>
    <row r="584" customHeight="1" spans="15:16">
      <c r="O584" s="26"/>
      <c r="P584" s="27"/>
    </row>
    <row r="585" customHeight="1" spans="15:16">
      <c r="O585" s="26"/>
      <c r="P585" s="27"/>
    </row>
    <row r="586" customHeight="1" spans="15:16">
      <c r="O586" s="26"/>
      <c r="P586" s="27"/>
    </row>
    <row r="587" customHeight="1" spans="15:16">
      <c r="O587" s="26"/>
      <c r="P587" s="27"/>
    </row>
    <row r="588" customHeight="1" spans="15:16">
      <c r="O588" s="26"/>
      <c r="P588" s="27"/>
    </row>
    <row r="589" customHeight="1" spans="15:16">
      <c r="O589" s="26"/>
      <c r="P589" s="27"/>
    </row>
    <row r="590" customHeight="1" spans="15:16">
      <c r="O590" s="26"/>
      <c r="P590" s="27"/>
    </row>
    <row r="591" customHeight="1" spans="15:16">
      <c r="O591" s="26"/>
      <c r="P591" s="27"/>
    </row>
    <row r="592" customHeight="1" spans="15:16">
      <c r="O592" s="26"/>
      <c r="P592" s="27"/>
    </row>
    <row r="593" customHeight="1" spans="15:16">
      <c r="O593" s="26"/>
      <c r="P593" s="27"/>
    </row>
    <row r="594" customHeight="1" spans="15:16">
      <c r="O594" s="26"/>
      <c r="P594" s="27"/>
    </row>
    <row r="595" customHeight="1" spans="15:16">
      <c r="O595" s="26"/>
      <c r="P595" s="27"/>
    </row>
    <row r="596" customHeight="1" spans="15:16">
      <c r="O596" s="26"/>
      <c r="P596" s="27"/>
    </row>
    <row r="597" customHeight="1" spans="15:16">
      <c r="O597" s="26"/>
      <c r="P597" s="27"/>
    </row>
    <row r="598" customHeight="1" spans="15:16">
      <c r="O598" s="26"/>
      <c r="P598" s="27"/>
    </row>
    <row r="599" customHeight="1" spans="15:16">
      <c r="O599" s="26"/>
      <c r="P599" s="27"/>
    </row>
    <row r="600" customHeight="1" spans="15:16">
      <c r="O600" s="26"/>
      <c r="P600" s="27"/>
    </row>
    <row r="601" customHeight="1" spans="15:16">
      <c r="O601" s="26"/>
      <c r="P601" s="27"/>
    </row>
    <row r="602" customHeight="1" spans="15:16">
      <c r="O602" s="26"/>
      <c r="P602" s="27"/>
    </row>
    <row r="603" customHeight="1" spans="15:16">
      <c r="O603" s="26"/>
      <c r="P603" s="27"/>
    </row>
    <row r="604" customHeight="1" spans="15:16">
      <c r="O604" s="26"/>
      <c r="P604" s="27"/>
    </row>
    <row r="605" customHeight="1" spans="15:16">
      <c r="O605" s="26"/>
      <c r="P605" s="27"/>
    </row>
    <row r="606" customHeight="1" spans="15:16">
      <c r="O606" s="26"/>
      <c r="P606" s="27"/>
    </row>
    <row r="607" customHeight="1" spans="15:16">
      <c r="O607" s="26"/>
      <c r="P607" s="27"/>
    </row>
    <row r="608" customHeight="1" spans="15:16">
      <c r="O608" s="26"/>
      <c r="P608" s="27"/>
    </row>
    <row r="609" customHeight="1" spans="15:16">
      <c r="O609" s="26"/>
      <c r="P609" s="27"/>
    </row>
    <row r="610" customHeight="1" spans="15:16">
      <c r="O610" s="26"/>
      <c r="P610" s="27"/>
    </row>
    <row r="611" customHeight="1" spans="15:16">
      <c r="O611" s="26"/>
      <c r="P611" s="27"/>
    </row>
    <row r="612" customHeight="1" spans="15:16">
      <c r="O612" s="26"/>
      <c r="P612" s="27"/>
    </row>
    <row r="613" customHeight="1" spans="15:16">
      <c r="O613" s="26"/>
      <c r="P613" s="27"/>
    </row>
    <row r="614" customHeight="1" spans="15:16">
      <c r="O614" s="26"/>
      <c r="P614" s="27"/>
    </row>
    <row r="615" customHeight="1" spans="15:16">
      <c r="O615" s="26"/>
      <c r="P615" s="27"/>
    </row>
    <row r="616" customHeight="1" spans="15:16">
      <c r="O616" s="26"/>
      <c r="P616" s="27"/>
    </row>
    <row r="617" customHeight="1" spans="15:16">
      <c r="O617" s="26"/>
      <c r="P617" s="27"/>
    </row>
    <row r="618" customHeight="1" spans="15:16">
      <c r="O618" s="26"/>
      <c r="P618" s="27"/>
    </row>
    <row r="619" customHeight="1" spans="15:16">
      <c r="O619" s="26"/>
      <c r="P619" s="27"/>
    </row>
    <row r="620" customHeight="1" spans="15:16">
      <c r="O620" s="26"/>
      <c r="P620" s="27"/>
    </row>
    <row r="621" customHeight="1" spans="15:16">
      <c r="O621" s="26"/>
      <c r="P621" s="27"/>
    </row>
    <row r="622" customHeight="1" spans="15:16">
      <c r="O622" s="26"/>
      <c r="P622" s="27"/>
    </row>
    <row r="623" customHeight="1" spans="15:16">
      <c r="O623" s="26"/>
      <c r="P623" s="27"/>
    </row>
    <row r="624" customHeight="1" spans="15:16">
      <c r="O624" s="26"/>
      <c r="P624" s="27"/>
    </row>
    <row r="625" customHeight="1" spans="15:16">
      <c r="O625" s="26"/>
      <c r="P625" s="27"/>
    </row>
    <row r="626" customHeight="1" spans="15:16">
      <c r="O626" s="26"/>
      <c r="P626" s="27"/>
    </row>
    <row r="627" customHeight="1" spans="15:16">
      <c r="O627" s="26"/>
      <c r="P627" s="27"/>
    </row>
    <row r="628" customHeight="1" spans="15:16">
      <c r="O628" s="26"/>
      <c r="P628" s="27"/>
    </row>
    <row r="629" customHeight="1" spans="15:16">
      <c r="O629" s="26"/>
      <c r="P629" s="27"/>
    </row>
    <row r="630" customHeight="1" spans="15:16">
      <c r="O630" s="26"/>
      <c r="P630" s="27"/>
    </row>
    <row r="631" customHeight="1" spans="15:16">
      <c r="O631" s="26"/>
      <c r="P631" s="27"/>
    </row>
    <row r="632" customHeight="1" spans="15:16">
      <c r="O632" s="26"/>
      <c r="P632" s="27"/>
    </row>
    <row r="633" customHeight="1" spans="15:16">
      <c r="O633" s="26"/>
      <c r="P633" s="27"/>
    </row>
    <row r="634" customHeight="1" spans="15:16">
      <c r="O634" s="26"/>
      <c r="P634" s="27"/>
    </row>
    <row r="635" customHeight="1" spans="15:16">
      <c r="O635" s="26"/>
      <c r="P635" s="27"/>
    </row>
    <row r="636" customHeight="1" spans="15:16">
      <c r="O636" s="26"/>
      <c r="P636" s="27"/>
    </row>
    <row r="637" customHeight="1" spans="15:16">
      <c r="O637" s="26"/>
      <c r="P637" s="27"/>
    </row>
    <row r="638" customHeight="1" spans="15:16">
      <c r="O638" s="26"/>
      <c r="P638" s="27"/>
    </row>
    <row r="639" customHeight="1" spans="15:16">
      <c r="O639" s="26"/>
      <c r="P639" s="27"/>
    </row>
    <row r="640" customHeight="1" spans="15:16">
      <c r="O640" s="26"/>
      <c r="P640" s="27"/>
    </row>
    <row r="641" customHeight="1" spans="15:16">
      <c r="O641" s="26"/>
      <c r="P641" s="27"/>
    </row>
    <row r="642" customHeight="1" spans="15:16">
      <c r="O642" s="26"/>
      <c r="P642" s="27"/>
    </row>
    <row r="643" customHeight="1" spans="15:16">
      <c r="O643" s="26"/>
      <c r="P643" s="27"/>
    </row>
    <row r="644" customHeight="1" spans="15:16">
      <c r="O644" s="26"/>
      <c r="P644" s="27"/>
    </row>
    <row r="645" customHeight="1" spans="15:16">
      <c r="O645" s="26"/>
      <c r="P645" s="27"/>
    </row>
    <row r="646" customHeight="1" spans="15:16">
      <c r="O646" s="26"/>
      <c r="P646" s="27"/>
    </row>
    <row r="647" customHeight="1" spans="15:16">
      <c r="O647" s="26"/>
      <c r="P647" s="27"/>
    </row>
    <row r="648" customHeight="1" spans="15:16">
      <c r="O648" s="26"/>
      <c r="P648" s="27"/>
    </row>
    <row r="649" customHeight="1" spans="15:16">
      <c r="O649" s="26"/>
      <c r="P649" s="27"/>
    </row>
    <row r="650" customHeight="1" spans="15:16">
      <c r="O650" s="26"/>
      <c r="P650" s="27"/>
    </row>
    <row r="651" customHeight="1" spans="15:16">
      <c r="O651" s="26"/>
      <c r="P651" s="27"/>
    </row>
    <row r="652" customHeight="1" spans="15:16">
      <c r="O652" s="26"/>
      <c r="P652" s="27"/>
    </row>
    <row r="653" customHeight="1" spans="15:16">
      <c r="O653" s="26"/>
      <c r="P653" s="27"/>
    </row>
    <row r="654" customHeight="1" spans="15:16">
      <c r="O654" s="26"/>
      <c r="P654" s="27"/>
    </row>
    <row r="655" customHeight="1" spans="15:16">
      <c r="O655" s="26"/>
      <c r="P655" s="27"/>
    </row>
    <row r="656" customHeight="1" spans="15:16">
      <c r="O656" s="26"/>
      <c r="P656" s="27"/>
    </row>
    <row r="657" customHeight="1" spans="15:16">
      <c r="O657" s="26"/>
      <c r="P657" s="27"/>
    </row>
    <row r="658" customHeight="1" spans="15:16">
      <c r="O658" s="26"/>
      <c r="P658" s="27"/>
    </row>
    <row r="659" customHeight="1" spans="15:16">
      <c r="O659" s="26"/>
      <c r="P659" s="27"/>
    </row>
    <row r="660" customHeight="1" spans="15:16">
      <c r="O660" s="26"/>
      <c r="P660" s="27"/>
    </row>
    <row r="661" customHeight="1" spans="15:16">
      <c r="O661" s="26"/>
      <c r="P661" s="27"/>
    </row>
    <row r="662" customHeight="1" spans="15:16">
      <c r="O662" s="26"/>
      <c r="P662" s="27"/>
    </row>
    <row r="663" customHeight="1" spans="15:16">
      <c r="O663" s="26"/>
      <c r="P663" s="27"/>
    </row>
    <row r="664" customHeight="1" spans="15:16">
      <c r="O664" s="26"/>
      <c r="P664" s="27"/>
    </row>
    <row r="665" customHeight="1" spans="15:16">
      <c r="O665" s="26"/>
      <c r="P665" s="27"/>
    </row>
    <row r="666" customHeight="1" spans="15:16">
      <c r="O666" s="26"/>
      <c r="P666" s="27"/>
    </row>
    <row r="667" customHeight="1" spans="15:16">
      <c r="O667" s="26"/>
      <c r="P667" s="27"/>
    </row>
    <row r="668" customHeight="1" spans="15:16">
      <c r="O668" s="26"/>
      <c r="P668" s="27"/>
    </row>
    <row r="669" customHeight="1" spans="15:16">
      <c r="O669" s="26"/>
      <c r="P669" s="27"/>
    </row>
    <row r="670" customHeight="1" spans="15:16">
      <c r="O670" s="26"/>
      <c r="P670" s="27"/>
    </row>
    <row r="671" customHeight="1" spans="15:16">
      <c r="O671" s="26"/>
      <c r="P671" s="27"/>
    </row>
    <row r="672" customHeight="1" spans="15:16">
      <c r="O672" s="26"/>
      <c r="P672" s="27"/>
    </row>
    <row r="673" customHeight="1" spans="15:16">
      <c r="O673" s="26"/>
      <c r="P673" s="27"/>
    </row>
    <row r="674" customHeight="1" spans="15:16">
      <c r="O674" s="26"/>
      <c r="P674" s="27"/>
    </row>
    <row r="675" customHeight="1" spans="15:16">
      <c r="O675" s="26"/>
      <c r="P675" s="27"/>
    </row>
    <row r="676" customHeight="1" spans="15:16">
      <c r="O676" s="26"/>
      <c r="P676" s="27"/>
    </row>
    <row r="677" customHeight="1" spans="15:16">
      <c r="O677" s="26"/>
      <c r="P677" s="27"/>
    </row>
    <row r="678" customHeight="1" spans="15:16">
      <c r="O678" s="26"/>
      <c r="P678" s="27"/>
    </row>
    <row r="679" customHeight="1" spans="15:16">
      <c r="O679" s="26"/>
      <c r="P679" s="27"/>
    </row>
    <row r="680" customHeight="1" spans="15:16">
      <c r="O680" s="26"/>
      <c r="P680" s="27"/>
    </row>
    <row r="681" customHeight="1" spans="15:16">
      <c r="O681" s="26"/>
      <c r="P681" s="27"/>
    </row>
    <row r="682" customHeight="1" spans="15:16">
      <c r="O682" s="26"/>
      <c r="P682" s="27"/>
    </row>
    <row r="683" customHeight="1" spans="15:16">
      <c r="O683" s="26"/>
      <c r="P683" s="27"/>
    </row>
    <row r="684" customHeight="1" spans="15:16">
      <c r="O684" s="26"/>
      <c r="P684" s="27"/>
    </row>
    <row r="685" customHeight="1" spans="15:16">
      <c r="O685" s="26"/>
      <c r="P685" s="27"/>
    </row>
    <row r="686" customHeight="1" spans="15:16">
      <c r="O686" s="26"/>
      <c r="P686" s="27"/>
    </row>
    <row r="687" customHeight="1" spans="15:16">
      <c r="O687" s="26"/>
      <c r="P687" s="27"/>
    </row>
    <row r="688" customHeight="1" spans="15:16">
      <c r="O688" s="26"/>
      <c r="P688" s="27"/>
    </row>
    <row r="689" customHeight="1" spans="15:16">
      <c r="O689" s="26"/>
      <c r="P689" s="27"/>
    </row>
    <row r="690" customHeight="1" spans="15:16">
      <c r="O690" s="26"/>
      <c r="P690" s="27"/>
    </row>
    <row r="691" customHeight="1" spans="15:16">
      <c r="O691" s="26"/>
      <c r="P691" s="27"/>
    </row>
    <row r="692" customHeight="1" spans="15:16">
      <c r="O692" s="26"/>
      <c r="P692" s="27"/>
    </row>
    <row r="693" customHeight="1" spans="15:16">
      <c r="O693" s="26"/>
      <c r="P693" s="27"/>
    </row>
    <row r="694" customHeight="1" spans="15:16">
      <c r="O694" s="26"/>
      <c r="P694" s="27"/>
    </row>
    <row r="695" customHeight="1" spans="15:16">
      <c r="O695" s="26"/>
      <c r="P695" s="27"/>
    </row>
    <row r="696" customHeight="1" spans="15:16">
      <c r="O696" s="26"/>
      <c r="P696" s="27"/>
    </row>
    <row r="697" customHeight="1" spans="15:16">
      <c r="O697" s="26"/>
      <c r="P697" s="27"/>
    </row>
    <row r="698" customHeight="1" spans="15:16">
      <c r="O698" s="26"/>
      <c r="P698" s="27"/>
    </row>
    <row r="699" customHeight="1" spans="15:16">
      <c r="O699" s="26"/>
      <c r="P699" s="27"/>
    </row>
    <row r="700" customHeight="1" spans="15:16">
      <c r="O700" s="26"/>
      <c r="P700" s="27"/>
    </row>
    <row r="701" customHeight="1" spans="15:16">
      <c r="O701" s="26"/>
      <c r="P701" s="27"/>
    </row>
    <row r="702" customHeight="1" spans="15:16">
      <c r="O702" s="26"/>
      <c r="P702" s="27"/>
    </row>
    <row r="703" customHeight="1" spans="15:16">
      <c r="O703" s="26"/>
      <c r="P703" s="27"/>
    </row>
    <row r="704" customHeight="1" spans="15:16">
      <c r="O704" s="26"/>
      <c r="P704" s="27"/>
    </row>
    <row r="705" customHeight="1" spans="15:16">
      <c r="O705" s="26"/>
      <c r="P705" s="27"/>
    </row>
    <row r="706" customHeight="1" spans="15:16">
      <c r="O706" s="26"/>
      <c r="P706" s="27"/>
    </row>
    <row r="707" customHeight="1" spans="15:16">
      <c r="O707" s="26"/>
      <c r="P707" s="27"/>
    </row>
    <row r="708" customHeight="1" spans="15:16">
      <c r="O708" s="26"/>
      <c r="P708" s="27"/>
    </row>
    <row r="709" customHeight="1" spans="15:16">
      <c r="O709" s="26"/>
      <c r="P709" s="27"/>
    </row>
    <row r="710" customHeight="1" spans="15:16">
      <c r="O710" s="26"/>
      <c r="P710" s="27"/>
    </row>
    <row r="711" customHeight="1" spans="15:16">
      <c r="O711" s="26"/>
      <c r="P711" s="27"/>
    </row>
    <row r="712" customHeight="1" spans="15:16">
      <c r="O712" s="26"/>
      <c r="P712" s="27"/>
    </row>
    <row r="713" customHeight="1" spans="15:16">
      <c r="O713" s="26"/>
      <c r="P713" s="27"/>
    </row>
    <row r="714" customHeight="1" spans="15:16">
      <c r="O714" s="26"/>
      <c r="P714" s="27"/>
    </row>
    <row r="715" customHeight="1" spans="15:16">
      <c r="O715" s="26"/>
      <c r="P715" s="27"/>
    </row>
    <row r="716" customHeight="1" spans="15:16">
      <c r="O716" s="26"/>
      <c r="P716" s="27"/>
    </row>
    <row r="717" customHeight="1" spans="15:16">
      <c r="O717" s="26"/>
      <c r="P717" s="27"/>
    </row>
    <row r="718" customHeight="1" spans="15:16">
      <c r="O718" s="26"/>
      <c r="P718" s="27"/>
    </row>
    <row r="719" customHeight="1" spans="15:16">
      <c r="O719" s="26"/>
      <c r="P719" s="27"/>
    </row>
    <row r="720" customHeight="1" spans="15:16">
      <c r="O720" s="26"/>
      <c r="P720" s="27"/>
    </row>
    <row r="721" customHeight="1" spans="15:16">
      <c r="O721" s="26"/>
      <c r="P721" s="27"/>
    </row>
    <row r="722" customHeight="1" spans="15:16">
      <c r="O722" s="26"/>
      <c r="P722" s="27"/>
    </row>
    <row r="723" customHeight="1" spans="15:16">
      <c r="O723" s="26"/>
      <c r="P723" s="27"/>
    </row>
    <row r="724" customHeight="1" spans="15:16">
      <c r="O724" s="26"/>
      <c r="P724" s="27"/>
    </row>
    <row r="725" customHeight="1" spans="15:16">
      <c r="O725" s="26"/>
      <c r="P725" s="27"/>
    </row>
    <row r="726" customHeight="1" spans="15:16">
      <c r="O726" s="26"/>
      <c r="P726" s="27"/>
    </row>
    <row r="727" customHeight="1" spans="15:16">
      <c r="O727" s="26"/>
      <c r="P727" s="27"/>
    </row>
    <row r="728" customHeight="1" spans="15:16">
      <c r="O728" s="26"/>
      <c r="P728" s="27"/>
    </row>
    <row r="729" customHeight="1" spans="15:16">
      <c r="O729" s="26"/>
      <c r="P729" s="27"/>
    </row>
    <row r="730" customHeight="1" spans="15:16">
      <c r="O730" s="26"/>
      <c r="P730" s="27"/>
    </row>
    <row r="731" customHeight="1" spans="15:16">
      <c r="O731" s="26"/>
      <c r="P731" s="27"/>
    </row>
    <row r="732" customHeight="1" spans="15:16">
      <c r="O732" s="26"/>
      <c r="P732" s="27"/>
    </row>
    <row r="733" customHeight="1" spans="15:16">
      <c r="O733" s="26"/>
      <c r="P733" s="27"/>
    </row>
    <row r="734" customHeight="1" spans="15:16">
      <c r="O734" s="26"/>
      <c r="P734" s="27"/>
    </row>
    <row r="735" customHeight="1" spans="15:16">
      <c r="O735" s="26"/>
      <c r="P735" s="27"/>
    </row>
    <row r="736" customHeight="1" spans="15:16">
      <c r="O736" s="26"/>
      <c r="P736" s="27"/>
    </row>
    <row r="737" customHeight="1" spans="15:16">
      <c r="O737" s="26"/>
      <c r="P737" s="27"/>
    </row>
    <row r="738" customHeight="1" spans="15:16">
      <c r="O738" s="26"/>
      <c r="P738" s="27"/>
    </row>
    <row r="739" customHeight="1" spans="15:16">
      <c r="O739" s="26"/>
      <c r="P739" s="27"/>
    </row>
    <row r="740" customHeight="1" spans="15:16">
      <c r="O740" s="26"/>
      <c r="P740" s="27"/>
    </row>
    <row r="741" customHeight="1" spans="15:16">
      <c r="O741" s="26"/>
      <c r="P741" s="27"/>
    </row>
    <row r="742" customHeight="1" spans="15:16">
      <c r="O742" s="26"/>
      <c r="P742" s="27"/>
    </row>
    <row r="743" customHeight="1" spans="15:16">
      <c r="O743" s="26"/>
      <c r="P743" s="27"/>
    </row>
    <row r="744" customHeight="1" spans="15:16">
      <c r="O744" s="26"/>
      <c r="P744" s="27"/>
    </row>
    <row r="745" customHeight="1" spans="15:16">
      <c r="O745" s="26"/>
      <c r="P745" s="27"/>
    </row>
    <row r="746" customHeight="1" spans="15:16">
      <c r="O746" s="26"/>
      <c r="P746" s="27"/>
    </row>
    <row r="747" customHeight="1" spans="15:16">
      <c r="O747" s="26"/>
      <c r="P747" s="27"/>
    </row>
    <row r="748" customHeight="1" spans="15:16">
      <c r="O748" s="26"/>
      <c r="P748" s="27"/>
    </row>
    <row r="749" customHeight="1" spans="15:16">
      <c r="O749" s="26"/>
      <c r="P749" s="27"/>
    </row>
    <row r="750" customHeight="1" spans="15:16">
      <c r="O750" s="26"/>
      <c r="P750" s="27"/>
    </row>
    <row r="751" customHeight="1" spans="15:16">
      <c r="O751" s="26"/>
      <c r="P751" s="27"/>
    </row>
    <row r="752" customHeight="1" spans="15:16">
      <c r="O752" s="26"/>
      <c r="P752" s="27"/>
    </row>
    <row r="753" customHeight="1" spans="15:16">
      <c r="O753" s="26"/>
      <c r="P753" s="27"/>
    </row>
    <row r="754" customHeight="1" spans="15:16">
      <c r="O754" s="26"/>
      <c r="P754" s="27"/>
    </row>
    <row r="755" customHeight="1" spans="15:16">
      <c r="O755" s="26"/>
      <c r="P755" s="27"/>
    </row>
    <row r="756" customHeight="1" spans="15:16">
      <c r="O756" s="26"/>
      <c r="P756" s="27"/>
    </row>
    <row r="757" customHeight="1" spans="15:16">
      <c r="O757" s="26"/>
      <c r="P757" s="27"/>
    </row>
    <row r="758" customHeight="1" spans="15:16">
      <c r="O758" s="26"/>
      <c r="P758" s="27"/>
    </row>
    <row r="759" customHeight="1" spans="15:16">
      <c r="O759" s="26"/>
      <c r="P759" s="27"/>
    </row>
    <row r="760" customHeight="1" spans="15:16">
      <c r="O760" s="26"/>
      <c r="P760" s="27"/>
    </row>
    <row r="761" customHeight="1" spans="15:16">
      <c r="O761" s="26"/>
      <c r="P761" s="27"/>
    </row>
    <row r="762" customHeight="1" spans="15:16">
      <c r="O762" s="26"/>
      <c r="P762" s="27"/>
    </row>
    <row r="763" customHeight="1" spans="15:16">
      <c r="O763" s="26"/>
      <c r="P763" s="27"/>
    </row>
    <row r="764" customHeight="1" spans="15:16">
      <c r="O764" s="26"/>
      <c r="P764" s="27"/>
    </row>
    <row r="765" customHeight="1" spans="15:16">
      <c r="O765" s="26"/>
      <c r="P765" s="27"/>
    </row>
    <row r="766" customHeight="1" spans="15:16">
      <c r="O766" s="26"/>
      <c r="P766" s="27"/>
    </row>
    <row r="767" customHeight="1" spans="15:16">
      <c r="O767" s="26"/>
      <c r="P767" s="27"/>
    </row>
    <row r="768" customHeight="1" spans="15:16">
      <c r="O768" s="26"/>
      <c r="P768" s="27"/>
    </row>
    <row r="769" customHeight="1" spans="15:16">
      <c r="O769" s="26"/>
      <c r="P769" s="27"/>
    </row>
    <row r="770" customHeight="1" spans="15:16">
      <c r="O770" s="26"/>
      <c r="P770" s="27"/>
    </row>
    <row r="771" customHeight="1" spans="15:16">
      <c r="O771" s="26"/>
      <c r="P771" s="27"/>
    </row>
    <row r="772" customHeight="1" spans="15:16">
      <c r="O772" s="26"/>
      <c r="P772" s="27"/>
    </row>
    <row r="773" customHeight="1" spans="15:16">
      <c r="O773" s="26"/>
      <c r="P773" s="27"/>
    </row>
    <row r="774" customHeight="1" spans="15:16">
      <c r="O774" s="26"/>
      <c r="P774" s="27"/>
    </row>
    <row r="775" customHeight="1" spans="15:16">
      <c r="O775" s="26"/>
      <c r="P775" s="27"/>
    </row>
    <row r="776" customHeight="1" spans="15:16">
      <c r="O776" s="26"/>
      <c r="P776" s="27"/>
    </row>
    <row r="777" customHeight="1" spans="15:16">
      <c r="O777" s="26"/>
      <c r="P777" s="27"/>
    </row>
    <row r="778" customHeight="1" spans="15:16">
      <c r="O778" s="26"/>
      <c r="P778" s="27"/>
    </row>
    <row r="779" customHeight="1" spans="15:16">
      <c r="O779" s="26"/>
      <c r="P779" s="27"/>
    </row>
    <row r="780" customHeight="1" spans="15:16">
      <c r="O780" s="26"/>
      <c r="P780" s="27"/>
    </row>
    <row r="781" customHeight="1" spans="15:16">
      <c r="O781" s="26"/>
      <c r="P781" s="27"/>
    </row>
    <row r="782" customHeight="1" spans="15:16">
      <c r="O782" s="26"/>
      <c r="P782" s="27"/>
    </row>
    <row r="783" customHeight="1" spans="15:16">
      <c r="O783" s="26"/>
      <c r="P783" s="27"/>
    </row>
    <row r="784" customHeight="1" spans="15:16">
      <c r="O784" s="26"/>
      <c r="P784" s="27"/>
    </row>
    <row r="785" customHeight="1" spans="15:16">
      <c r="O785" s="26"/>
      <c r="P785" s="27"/>
    </row>
    <row r="786" customHeight="1" spans="15:16">
      <c r="O786" s="26"/>
      <c r="P786" s="27"/>
    </row>
    <row r="787" customHeight="1" spans="15:16">
      <c r="O787" s="26"/>
      <c r="P787" s="27"/>
    </row>
    <row r="788" customHeight="1" spans="15:16">
      <c r="O788" s="26"/>
      <c r="P788" s="27"/>
    </row>
    <row r="789" customHeight="1" spans="15:16">
      <c r="O789" s="26"/>
      <c r="P789" s="27"/>
    </row>
    <row r="790" customHeight="1" spans="15:16">
      <c r="O790" s="26"/>
      <c r="P790" s="27"/>
    </row>
    <row r="791" customHeight="1" spans="15:16">
      <c r="O791" s="26"/>
      <c r="P791" s="27"/>
    </row>
    <row r="792" customHeight="1" spans="15:16">
      <c r="O792" s="26"/>
      <c r="P792" s="27"/>
    </row>
    <row r="793" customHeight="1" spans="15:16">
      <c r="O793" s="26"/>
      <c r="P793" s="27"/>
    </row>
    <row r="794" customHeight="1" spans="15:16">
      <c r="O794" s="26"/>
      <c r="P794" s="27"/>
    </row>
    <row r="795" customHeight="1" spans="15:16">
      <c r="O795" s="26"/>
      <c r="P795" s="27"/>
    </row>
    <row r="796" customHeight="1" spans="15:16">
      <c r="O796" s="26"/>
      <c r="P796" s="27"/>
    </row>
    <row r="797" customHeight="1" spans="15:16">
      <c r="O797" s="26"/>
      <c r="P797" s="27"/>
    </row>
    <row r="798" customHeight="1" spans="15:16">
      <c r="O798" s="26"/>
      <c r="P798" s="27"/>
    </row>
    <row r="799" customHeight="1" spans="15:16">
      <c r="O799" s="26"/>
      <c r="P799" s="27"/>
    </row>
    <row r="800" customHeight="1" spans="15:16">
      <c r="O800" s="26"/>
      <c r="P800" s="27"/>
    </row>
    <row r="801" customHeight="1" spans="15:16">
      <c r="O801" s="26"/>
      <c r="P801" s="27"/>
    </row>
    <row r="802" customHeight="1" spans="15:16">
      <c r="O802" s="26"/>
      <c r="P802" s="27"/>
    </row>
    <row r="803" customHeight="1" spans="15:16">
      <c r="O803" s="26"/>
      <c r="P803" s="27"/>
    </row>
    <row r="804" customHeight="1" spans="15:16">
      <c r="O804" s="26"/>
      <c r="P804" s="27"/>
    </row>
    <row r="805" customHeight="1" spans="15:16">
      <c r="O805" s="26"/>
      <c r="P805" s="27"/>
    </row>
    <row r="806" customHeight="1" spans="15:16">
      <c r="O806" s="26"/>
      <c r="P806" s="27"/>
    </row>
    <row r="807" customHeight="1" spans="15:16">
      <c r="O807" s="26"/>
      <c r="P807" s="27"/>
    </row>
    <row r="808" customHeight="1" spans="15:16">
      <c r="O808" s="26"/>
      <c r="P808" s="27"/>
    </row>
    <row r="809" customHeight="1" spans="15:16">
      <c r="O809" s="26"/>
      <c r="P809" s="27"/>
    </row>
    <row r="810" customHeight="1" spans="15:16">
      <c r="O810" s="26"/>
      <c r="P810" s="27"/>
    </row>
    <row r="811" customHeight="1" spans="15:16">
      <c r="O811" s="26"/>
      <c r="P811" s="27"/>
    </row>
    <row r="812" customHeight="1" spans="15:16">
      <c r="O812" s="26"/>
      <c r="P812" s="27"/>
    </row>
    <row r="813" customHeight="1" spans="15:16">
      <c r="O813" s="26"/>
      <c r="P813" s="27"/>
    </row>
    <row r="814" customHeight="1" spans="15:16">
      <c r="O814" s="26"/>
      <c r="P814" s="27"/>
    </row>
    <row r="815" customHeight="1" spans="15:16">
      <c r="O815" s="26"/>
      <c r="P815" s="27"/>
    </row>
    <row r="816" customHeight="1" spans="15:16">
      <c r="O816" s="26"/>
      <c r="P816" s="27"/>
    </row>
    <row r="817" customHeight="1" spans="15:16">
      <c r="O817" s="26"/>
      <c r="P817" s="27"/>
    </row>
    <row r="818" customHeight="1" spans="15:16">
      <c r="O818" s="26"/>
      <c r="P818" s="27"/>
    </row>
    <row r="819" customHeight="1" spans="15:16">
      <c r="O819" s="26"/>
      <c r="P819" s="27"/>
    </row>
    <row r="820" customHeight="1" spans="15:16">
      <c r="O820" s="26"/>
      <c r="P820" s="27"/>
    </row>
    <row r="821" customHeight="1" spans="15:16">
      <c r="O821" s="26"/>
      <c r="P821" s="27"/>
    </row>
    <row r="822" customHeight="1" spans="15:16">
      <c r="O822" s="26"/>
      <c r="P822" s="27"/>
    </row>
    <row r="823" customHeight="1" spans="15:16">
      <c r="O823" s="26"/>
      <c r="P823" s="27"/>
    </row>
    <row r="824" customHeight="1" spans="15:16">
      <c r="O824" s="26"/>
      <c r="P824" s="27"/>
    </row>
    <row r="825" customHeight="1" spans="15:16">
      <c r="O825" s="26"/>
      <c r="P825" s="27"/>
    </row>
    <row r="826" customHeight="1" spans="15:16">
      <c r="O826" s="26"/>
      <c r="P826" s="27"/>
    </row>
    <row r="827" customHeight="1" spans="15:16">
      <c r="O827" s="26"/>
      <c r="P827" s="27"/>
    </row>
    <row r="828" customHeight="1" spans="15:16">
      <c r="O828" s="26"/>
      <c r="P828" s="27"/>
    </row>
    <row r="829" customHeight="1" spans="15:16">
      <c r="O829" s="26"/>
      <c r="P829" s="27"/>
    </row>
    <row r="830" customHeight="1" spans="15:16">
      <c r="O830" s="26"/>
      <c r="P830" s="27"/>
    </row>
    <row r="831" customHeight="1" spans="15:16">
      <c r="O831" s="26"/>
      <c r="P831" s="27"/>
    </row>
    <row r="832" customHeight="1" spans="15:16">
      <c r="O832" s="26"/>
      <c r="P832" s="27"/>
    </row>
    <row r="833" customHeight="1" spans="15:16">
      <c r="O833" s="26"/>
      <c r="P833" s="27"/>
    </row>
    <row r="834" customHeight="1" spans="15:16">
      <c r="O834" s="26"/>
      <c r="P834" s="27"/>
    </row>
    <row r="835" customHeight="1" spans="15:16">
      <c r="O835" s="26"/>
      <c r="P835" s="27"/>
    </row>
    <row r="836" customHeight="1" spans="15:16">
      <c r="O836" s="26"/>
      <c r="P836" s="27"/>
    </row>
    <row r="837" customHeight="1" spans="15:16">
      <c r="O837" s="26"/>
      <c r="P837" s="27"/>
    </row>
    <row r="838" customHeight="1" spans="15:16">
      <c r="O838" s="26"/>
      <c r="P838" s="27"/>
    </row>
    <row r="839" customHeight="1" spans="15:16">
      <c r="O839" s="26"/>
      <c r="P839" s="27"/>
    </row>
    <row r="840" customHeight="1" spans="15:16">
      <c r="O840" s="26"/>
      <c r="P840" s="27"/>
    </row>
    <row r="841" customHeight="1" spans="15:16">
      <c r="O841" s="26"/>
      <c r="P841" s="27"/>
    </row>
    <row r="842" customHeight="1" spans="15:16">
      <c r="O842" s="26"/>
      <c r="P842" s="27"/>
    </row>
    <row r="843" customHeight="1" spans="15:16">
      <c r="O843" s="26"/>
      <c r="P843" s="27"/>
    </row>
    <row r="844" customHeight="1" spans="15:16">
      <c r="O844" s="26"/>
      <c r="P844" s="27"/>
    </row>
    <row r="845" customHeight="1" spans="15:16">
      <c r="O845" s="26"/>
      <c r="P845" s="27"/>
    </row>
    <row r="846" customHeight="1" spans="15:16">
      <c r="O846" s="26"/>
      <c r="P846" s="27"/>
    </row>
    <row r="847" customHeight="1" spans="15:16">
      <c r="O847" s="26"/>
      <c r="P847" s="27"/>
    </row>
    <row r="848" customHeight="1" spans="15:16">
      <c r="O848" s="26"/>
      <c r="P848" s="27"/>
    </row>
    <row r="849" customHeight="1" spans="15:16">
      <c r="O849" s="26"/>
      <c r="P849" s="27"/>
    </row>
    <row r="850" customHeight="1" spans="15:16">
      <c r="O850" s="26"/>
      <c r="P850" s="27"/>
    </row>
    <row r="851" customHeight="1" spans="15:16">
      <c r="O851" s="26"/>
      <c r="P851" s="27"/>
    </row>
    <row r="852" customHeight="1" spans="15:16">
      <c r="O852" s="26"/>
      <c r="P852" s="27"/>
    </row>
    <row r="853" customHeight="1" spans="15:16">
      <c r="O853" s="26"/>
      <c r="P853" s="27"/>
    </row>
    <row r="854" customHeight="1" spans="15:16">
      <c r="O854" s="26"/>
      <c r="P854" s="27"/>
    </row>
    <row r="855" customHeight="1" spans="15:16">
      <c r="O855" s="26"/>
      <c r="P855" s="27"/>
    </row>
    <row r="856" customHeight="1" spans="15:16">
      <c r="O856" s="26"/>
      <c r="P856" s="27"/>
    </row>
    <row r="857" customHeight="1" spans="15:16">
      <c r="O857" s="26"/>
      <c r="P857" s="27"/>
    </row>
    <row r="858" customHeight="1" spans="15:16">
      <c r="O858" s="26"/>
      <c r="P858" s="27"/>
    </row>
    <row r="859" customHeight="1" spans="15:16">
      <c r="O859" s="26"/>
      <c r="P859" s="27"/>
    </row>
    <row r="860" customHeight="1" spans="15:16">
      <c r="O860" s="26"/>
      <c r="P860" s="27"/>
    </row>
    <row r="861" customHeight="1" spans="15:16">
      <c r="O861" s="26"/>
      <c r="P861" s="27"/>
    </row>
    <row r="862" customHeight="1" spans="15:16">
      <c r="O862" s="26"/>
      <c r="P862" s="27"/>
    </row>
    <row r="863" customHeight="1" spans="15:16">
      <c r="O863" s="26"/>
      <c r="P863" s="27"/>
    </row>
    <row r="864" customHeight="1" spans="15:16">
      <c r="O864" s="26"/>
      <c r="P864" s="27"/>
    </row>
    <row r="865" customHeight="1" spans="15:16">
      <c r="O865" s="26"/>
      <c r="P865" s="27"/>
    </row>
    <row r="866" customHeight="1" spans="15:16">
      <c r="O866" s="26"/>
      <c r="P866" s="27"/>
    </row>
    <row r="867" customHeight="1" spans="15:16">
      <c r="O867" s="26"/>
      <c r="P867" s="27"/>
    </row>
    <row r="868" customHeight="1" spans="15:16">
      <c r="O868" s="26"/>
      <c r="P868" s="27"/>
    </row>
    <row r="869" customHeight="1" spans="15:16">
      <c r="O869" s="26"/>
      <c r="P869" s="27"/>
    </row>
    <row r="870" customHeight="1" spans="15:16">
      <c r="O870" s="26"/>
      <c r="P870" s="27"/>
    </row>
    <row r="871" customHeight="1" spans="15:16">
      <c r="O871" s="26"/>
      <c r="P871" s="27"/>
    </row>
    <row r="872" customHeight="1" spans="15:16">
      <c r="O872" s="26"/>
      <c r="P872" s="27"/>
    </row>
    <row r="873" customHeight="1" spans="15:16">
      <c r="O873" s="26"/>
      <c r="P873" s="27"/>
    </row>
    <row r="874" customHeight="1" spans="15:16">
      <c r="O874" s="26"/>
      <c r="P874" s="27"/>
    </row>
    <row r="875" customHeight="1" spans="15:16">
      <c r="O875" s="26"/>
      <c r="P875" s="27"/>
    </row>
    <row r="876" customHeight="1" spans="15:16">
      <c r="O876" s="26"/>
      <c r="P876" s="27"/>
    </row>
    <row r="877" customHeight="1" spans="15:16">
      <c r="O877" s="26"/>
      <c r="P877" s="27"/>
    </row>
    <row r="878" customHeight="1" spans="15:16">
      <c r="O878" s="26"/>
      <c r="P878" s="27"/>
    </row>
    <row r="879" customHeight="1" spans="15:16">
      <c r="O879" s="26"/>
      <c r="P879" s="27"/>
    </row>
    <row r="880" customHeight="1" spans="15:16">
      <c r="O880" s="26"/>
      <c r="P880" s="27"/>
    </row>
    <row r="881" customHeight="1" spans="15:16">
      <c r="O881" s="26"/>
      <c r="P881" s="27"/>
    </row>
    <row r="882" customHeight="1" spans="15:16">
      <c r="O882" s="26"/>
      <c r="P882" s="27"/>
    </row>
    <row r="883" customHeight="1" spans="15:16">
      <c r="O883" s="26"/>
      <c r="P883" s="27"/>
    </row>
    <row r="884" customHeight="1" spans="15:16">
      <c r="O884" s="26"/>
      <c r="P884" s="27"/>
    </row>
    <row r="885" customHeight="1" spans="15:16">
      <c r="O885" s="26"/>
      <c r="P885" s="27"/>
    </row>
    <row r="886" customHeight="1" spans="15:16">
      <c r="O886" s="26"/>
      <c r="P886" s="27"/>
    </row>
    <row r="887" customHeight="1" spans="15:16">
      <c r="O887" s="26"/>
      <c r="P887" s="27"/>
    </row>
    <row r="888" customHeight="1" spans="15:16">
      <c r="O888" s="26"/>
      <c r="P888" s="27"/>
    </row>
    <row r="889" customHeight="1" spans="15:16">
      <c r="O889" s="26"/>
      <c r="P889" s="27"/>
    </row>
    <row r="890" customHeight="1" spans="15:16">
      <c r="O890" s="26"/>
      <c r="P890" s="27"/>
    </row>
    <row r="891" customHeight="1" spans="15:16">
      <c r="O891" s="26"/>
      <c r="P891" s="27"/>
    </row>
    <row r="892" customHeight="1" spans="15:16">
      <c r="O892" s="26"/>
      <c r="P892" s="27"/>
    </row>
    <row r="893" customHeight="1" spans="15:16">
      <c r="O893" s="26"/>
      <c r="P893" s="27"/>
    </row>
    <row r="894" customHeight="1" spans="15:16">
      <c r="O894" s="26"/>
      <c r="P894" s="27"/>
    </row>
    <row r="895" customHeight="1" spans="15:16">
      <c r="O895" s="26"/>
      <c r="P895" s="27"/>
    </row>
    <row r="896" customHeight="1" spans="15:16">
      <c r="O896" s="26"/>
      <c r="P896" s="27"/>
    </row>
    <row r="897" customHeight="1" spans="15:16">
      <c r="O897" s="26"/>
      <c r="P897" s="27"/>
    </row>
    <row r="898" customHeight="1" spans="15:16">
      <c r="O898" s="26"/>
      <c r="P898" s="27"/>
    </row>
    <row r="899" customHeight="1" spans="15:16">
      <c r="O899" s="26"/>
      <c r="P899" s="27"/>
    </row>
    <row r="900" customHeight="1" spans="15:16">
      <c r="O900" s="26"/>
      <c r="P900" s="27"/>
    </row>
    <row r="901" customHeight="1" spans="15:16">
      <c r="O901" s="26"/>
      <c r="P901" s="27"/>
    </row>
    <row r="902" customHeight="1" spans="15:16">
      <c r="O902" s="26"/>
      <c r="P902" s="27"/>
    </row>
    <row r="903" customHeight="1" spans="15:16">
      <c r="O903" s="26"/>
      <c r="P903" s="27"/>
    </row>
    <row r="904" customHeight="1" spans="15:16">
      <c r="O904" s="26"/>
      <c r="P904" s="27"/>
    </row>
    <row r="905" customHeight="1" spans="15:16">
      <c r="O905" s="26"/>
      <c r="P905" s="27"/>
    </row>
    <row r="906" customHeight="1" spans="15:16">
      <c r="O906" s="26"/>
      <c r="P906" s="27"/>
    </row>
    <row r="907" customHeight="1" spans="15:16">
      <c r="O907" s="26"/>
      <c r="P907" s="27"/>
    </row>
    <row r="908" customHeight="1" spans="15:16">
      <c r="O908" s="26"/>
      <c r="P908" s="27"/>
    </row>
    <row r="909" customHeight="1" spans="15:16">
      <c r="O909" s="26"/>
      <c r="P909" s="27"/>
    </row>
    <row r="910" customHeight="1" spans="15:16">
      <c r="O910" s="26"/>
      <c r="P910" s="27"/>
    </row>
    <row r="911" customHeight="1" spans="15:16">
      <c r="O911" s="26"/>
      <c r="P911" s="27"/>
    </row>
    <row r="912" customHeight="1" spans="15:16">
      <c r="O912" s="26"/>
      <c r="P912" s="27"/>
    </row>
    <row r="913" customHeight="1" spans="15:16">
      <c r="O913" s="26"/>
      <c r="P913" s="27"/>
    </row>
    <row r="914" customHeight="1" spans="15:16">
      <c r="O914" s="26"/>
      <c r="P914" s="27"/>
    </row>
    <row r="915" customHeight="1" spans="15:16">
      <c r="O915" s="26"/>
      <c r="P915" s="27"/>
    </row>
    <row r="916" customHeight="1" spans="15:16">
      <c r="O916" s="26"/>
      <c r="P916" s="27"/>
    </row>
    <row r="917" customHeight="1" spans="15:16">
      <c r="O917" s="26"/>
      <c r="P917" s="27"/>
    </row>
    <row r="918" customHeight="1" spans="15:16">
      <c r="O918" s="26"/>
      <c r="P918" s="27"/>
    </row>
    <row r="919" customHeight="1" spans="15:16">
      <c r="O919" s="26"/>
      <c r="P919" s="27"/>
    </row>
    <row r="920" customHeight="1" spans="15:16">
      <c r="O920" s="26"/>
      <c r="P920" s="27"/>
    </row>
    <row r="921" customHeight="1" spans="15:16">
      <c r="O921" s="26"/>
      <c r="P921" s="27"/>
    </row>
    <row r="922" customHeight="1" spans="15:16">
      <c r="O922" s="26"/>
      <c r="P922" s="27"/>
    </row>
    <row r="923" customHeight="1" spans="15:16">
      <c r="O923" s="26"/>
      <c r="P923" s="27"/>
    </row>
    <row r="924" customHeight="1" spans="15:16">
      <c r="O924" s="26"/>
      <c r="P924" s="27"/>
    </row>
    <row r="925" customHeight="1" spans="15:16">
      <c r="O925" s="26"/>
      <c r="P925" s="27"/>
    </row>
    <row r="926" customHeight="1" spans="15:16">
      <c r="O926" s="26"/>
      <c r="P926" s="27"/>
    </row>
    <row r="927" customHeight="1" spans="15:16">
      <c r="O927" s="26"/>
      <c r="P927" s="27"/>
    </row>
    <row r="928" customHeight="1" spans="15:16">
      <c r="O928" s="26"/>
      <c r="P928" s="27"/>
    </row>
    <row r="929" customHeight="1" spans="15:16">
      <c r="O929" s="26"/>
      <c r="P929" s="27"/>
    </row>
    <row r="930" customHeight="1" spans="15:16">
      <c r="O930" s="26"/>
      <c r="P930" s="27"/>
    </row>
    <row r="931" customHeight="1" spans="15:16">
      <c r="O931" s="26"/>
      <c r="P931" s="27"/>
    </row>
    <row r="932" customHeight="1" spans="15:16">
      <c r="O932" s="26"/>
      <c r="P932" s="27"/>
    </row>
    <row r="933" customHeight="1" spans="15:16">
      <c r="O933" s="26"/>
      <c r="P933" s="27"/>
    </row>
    <row r="934" customHeight="1" spans="15:16">
      <c r="O934" s="26"/>
      <c r="P934" s="27"/>
    </row>
    <row r="935" customHeight="1" spans="15:16">
      <c r="O935" s="26"/>
      <c r="P935" s="27"/>
    </row>
    <row r="936" customHeight="1" spans="15:16">
      <c r="O936" s="26"/>
      <c r="P936" s="27"/>
    </row>
    <row r="937" customHeight="1" spans="15:16">
      <c r="O937" s="26"/>
      <c r="P937" s="27"/>
    </row>
    <row r="938" customHeight="1" spans="15:16">
      <c r="O938" s="26"/>
      <c r="P938" s="27"/>
    </row>
    <row r="939" customHeight="1" spans="15:16">
      <c r="O939" s="26"/>
      <c r="P939" s="27"/>
    </row>
    <row r="940" customHeight="1" spans="15:16">
      <c r="O940" s="26"/>
      <c r="P940" s="27"/>
    </row>
    <row r="941" customHeight="1" spans="15:16">
      <c r="O941" s="26"/>
      <c r="P941" s="27"/>
    </row>
    <row r="942" customHeight="1" spans="15:16">
      <c r="O942" s="26"/>
      <c r="P942" s="27"/>
    </row>
    <row r="943" customHeight="1" spans="15:16">
      <c r="O943" s="26"/>
      <c r="P943" s="27"/>
    </row>
    <row r="944" customHeight="1" spans="15:16">
      <c r="O944" s="26"/>
      <c r="P944" s="27"/>
    </row>
    <row r="945" customHeight="1" spans="15:16">
      <c r="O945" s="26"/>
      <c r="P945" s="27"/>
    </row>
    <row r="946" customHeight="1" spans="15:16">
      <c r="O946" s="26"/>
      <c r="P946" s="27"/>
    </row>
    <row r="947" customHeight="1" spans="15:16">
      <c r="O947" s="26"/>
      <c r="P947" s="27"/>
    </row>
    <row r="948" customHeight="1" spans="15:16">
      <c r="O948" s="26"/>
      <c r="P948" s="27"/>
    </row>
    <row r="949" customHeight="1" spans="15:16">
      <c r="O949" s="26"/>
      <c r="P949" s="27"/>
    </row>
    <row r="950" customHeight="1" spans="15:16">
      <c r="O950" s="26"/>
      <c r="P950" s="27"/>
    </row>
    <row r="951" customHeight="1" spans="15:16">
      <c r="O951" s="26"/>
      <c r="P951" s="27"/>
    </row>
    <row r="952" customHeight="1" spans="15:16">
      <c r="O952" s="26"/>
      <c r="P952" s="27"/>
    </row>
    <row r="953" customHeight="1" spans="15:16">
      <c r="O953" s="26"/>
      <c r="P953" s="27"/>
    </row>
    <row r="954" customHeight="1" spans="15:16">
      <c r="O954" s="26"/>
      <c r="P954" s="27"/>
    </row>
    <row r="955" customHeight="1" spans="15:16">
      <c r="O955" s="26"/>
      <c r="P955" s="27"/>
    </row>
    <row r="956" customHeight="1" spans="15:16">
      <c r="O956" s="26"/>
      <c r="P956" s="27"/>
    </row>
    <row r="957" customHeight="1" spans="15:16">
      <c r="O957" s="26"/>
      <c r="P957" s="27"/>
    </row>
    <row r="958" customHeight="1" spans="15:16">
      <c r="O958" s="26"/>
      <c r="P958" s="27"/>
    </row>
    <row r="959" customHeight="1" spans="15:16">
      <c r="O959" s="26"/>
      <c r="P959" s="27"/>
    </row>
    <row r="960" customHeight="1" spans="15:16">
      <c r="O960" s="26"/>
      <c r="P960" s="27"/>
    </row>
    <row r="961" customHeight="1" spans="15:16">
      <c r="O961" s="26"/>
      <c r="P961" s="27"/>
    </row>
    <row r="962" customHeight="1" spans="15:16">
      <c r="O962" s="26"/>
      <c r="P962" s="27"/>
    </row>
    <row r="963" customHeight="1" spans="15:16">
      <c r="O963" s="26"/>
      <c r="P963" s="27"/>
    </row>
    <row r="964" customHeight="1" spans="15:16">
      <c r="O964" s="26"/>
      <c r="P964" s="27"/>
    </row>
    <row r="965" customHeight="1" spans="15:16">
      <c r="O965" s="26"/>
      <c r="P965" s="27"/>
    </row>
    <row r="966" customHeight="1" spans="15:16">
      <c r="O966" s="26"/>
      <c r="P966" s="27"/>
    </row>
    <row r="967" customHeight="1" spans="15:16">
      <c r="O967" s="26"/>
      <c r="P967" s="27"/>
    </row>
    <row r="968" customHeight="1" spans="15:16">
      <c r="O968" s="26"/>
      <c r="P968" s="27"/>
    </row>
    <row r="969" customHeight="1" spans="15:16">
      <c r="O969" s="26"/>
      <c r="P969" s="27"/>
    </row>
    <row r="970" customHeight="1" spans="15:16">
      <c r="O970" s="26"/>
      <c r="P970" s="27"/>
    </row>
    <row r="971" customHeight="1" spans="15:16">
      <c r="O971" s="26"/>
      <c r="P971" s="27"/>
    </row>
    <row r="972" customHeight="1" spans="15:16">
      <c r="O972" s="26"/>
      <c r="P972" s="27"/>
    </row>
    <row r="973" customHeight="1" spans="15:16">
      <c r="O973" s="26"/>
      <c r="P973" s="27"/>
    </row>
    <row r="974" customHeight="1" spans="15:16">
      <c r="O974" s="26"/>
      <c r="P974" s="27"/>
    </row>
    <row r="975" customHeight="1" spans="15:16">
      <c r="O975" s="26"/>
      <c r="P975" s="27"/>
    </row>
    <row r="976" customHeight="1" spans="15:16">
      <c r="O976" s="26"/>
      <c r="P976" s="27"/>
    </row>
    <row r="977" customHeight="1" spans="15:16">
      <c r="O977" s="26"/>
      <c r="P977" s="27"/>
    </row>
    <row r="978" customHeight="1" spans="15:16">
      <c r="O978" s="26"/>
      <c r="P978" s="27"/>
    </row>
    <row r="979" customHeight="1" spans="15:16">
      <c r="O979" s="26"/>
      <c r="P979" s="27"/>
    </row>
    <row r="980" customHeight="1" spans="15:16">
      <c r="O980" s="26"/>
      <c r="P980" s="27"/>
    </row>
    <row r="981" customHeight="1" spans="15:16">
      <c r="O981" s="26"/>
      <c r="P981" s="27"/>
    </row>
    <row r="982" customHeight="1" spans="15:16">
      <c r="O982" s="26"/>
      <c r="P982" s="27"/>
    </row>
    <row r="983" customHeight="1" spans="15:16">
      <c r="O983" s="26"/>
      <c r="P983" s="27"/>
    </row>
    <row r="984" customHeight="1" spans="15:16">
      <c r="O984" s="26"/>
      <c r="P984" s="27"/>
    </row>
    <row r="985" customHeight="1" spans="15:16">
      <c r="O985" s="26"/>
      <c r="P985" s="27"/>
    </row>
    <row r="986" customHeight="1" spans="15:16">
      <c r="O986" s="26"/>
      <c r="P986" s="27"/>
    </row>
    <row r="987" customHeight="1" spans="15:16">
      <c r="O987" s="26"/>
      <c r="P987" s="27"/>
    </row>
    <row r="988" customHeight="1" spans="15:16">
      <c r="O988" s="26"/>
      <c r="P988" s="27"/>
    </row>
    <row r="989" customHeight="1" spans="15:16">
      <c r="O989" s="26"/>
      <c r="P989" s="27"/>
    </row>
    <row r="990" customHeight="1" spans="15:16">
      <c r="O990" s="26"/>
      <c r="P990" s="27"/>
    </row>
    <row r="991" customHeight="1" spans="15:16">
      <c r="O991" s="26"/>
      <c r="P991" s="27"/>
    </row>
    <row r="992" customHeight="1" spans="15:16">
      <c r="O992" s="26"/>
      <c r="P992" s="27"/>
    </row>
    <row r="993" customHeight="1" spans="15:16">
      <c r="O993" s="26"/>
      <c r="P993" s="27"/>
    </row>
    <row r="994" customHeight="1" spans="15:16">
      <c r="O994" s="26"/>
      <c r="P994" s="27"/>
    </row>
  </sheetData>
  <mergeCells count="10">
    <mergeCell ref="F1:G1"/>
    <mergeCell ref="I1:J1"/>
    <mergeCell ref="K1:L1"/>
    <mergeCell ref="M1:N1"/>
    <mergeCell ref="O1:P1"/>
    <mergeCell ref="Q1:R1"/>
    <mergeCell ref="S1:T1"/>
    <mergeCell ref="V1:W1"/>
    <mergeCell ref="Y1:Z1"/>
    <mergeCell ref="AB1:A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$A1:$XFD1"/>
    </sheetView>
  </sheetViews>
  <sheetFormatPr defaultColWidth="8.88888888888889" defaultRowHeight="13.2" outlineLevelCol="7"/>
  <cols>
    <col min="1" max="1" width="24.3333333333333" customWidth="1"/>
    <col min="2" max="4" width="12.6296296296296"/>
    <col min="5" max="5" width="16.3333333333333" customWidth="1"/>
    <col min="6" max="6" width="15.2222222222222" customWidth="1"/>
    <col min="7" max="7" width="12.6666666666667" customWidth="1"/>
    <col min="8" max="8" width="14.1111111111111" customWidth="1"/>
  </cols>
  <sheetData>
    <row r="1" ht="15.6" spans="1:8">
      <c r="A1" s="1" t="s">
        <v>71</v>
      </c>
      <c r="B1" s="2" t="s">
        <v>15</v>
      </c>
      <c r="C1" s="2" t="s">
        <v>16</v>
      </c>
      <c r="D1" s="2" t="s">
        <v>17</v>
      </c>
      <c r="E1" s="2" t="s">
        <v>72</v>
      </c>
      <c r="F1" s="2" t="s">
        <v>73</v>
      </c>
      <c r="G1" s="2" t="s">
        <v>74</v>
      </c>
      <c r="H1" s="2" t="s">
        <v>75</v>
      </c>
    </row>
    <row r="2" ht="15.6" spans="1:8">
      <c r="A2" s="2" t="s">
        <v>18</v>
      </c>
      <c r="B2" s="3">
        <v>124</v>
      </c>
      <c r="C2" s="3">
        <v>124</v>
      </c>
      <c r="D2" s="3">
        <v>248</v>
      </c>
      <c r="E2" s="4">
        <v>60.7</v>
      </c>
      <c r="F2" s="4">
        <v>61.1</v>
      </c>
      <c r="G2" s="16">
        <v>13</v>
      </c>
      <c r="H2" s="16">
        <v>12.4</v>
      </c>
    </row>
    <row r="3" ht="15.6" spans="1:8">
      <c r="A3" s="2" t="s">
        <v>28</v>
      </c>
      <c r="B3" s="3">
        <v>566</v>
      </c>
      <c r="C3" s="3">
        <v>566</v>
      </c>
      <c r="D3" s="3">
        <f>B3+C3</f>
        <v>1132</v>
      </c>
      <c r="E3" s="4">
        <v>66.1</v>
      </c>
      <c r="F3" s="4">
        <v>66.3</v>
      </c>
      <c r="G3" s="16">
        <v>11.9</v>
      </c>
      <c r="H3" s="16">
        <v>11.7</v>
      </c>
    </row>
    <row r="4" ht="15.6" spans="1:8">
      <c r="A4" s="2" t="s">
        <v>33</v>
      </c>
      <c r="B4" s="6">
        <v>28237</v>
      </c>
      <c r="C4" s="6">
        <v>28237</v>
      </c>
      <c r="D4" s="3">
        <v>56474</v>
      </c>
      <c r="E4" s="4">
        <v>68</v>
      </c>
      <c r="F4" s="4">
        <v>68</v>
      </c>
      <c r="G4" s="16">
        <v>14.1</v>
      </c>
      <c r="H4" s="16">
        <v>13.3</v>
      </c>
    </row>
    <row r="5" ht="15.6" spans="1:8">
      <c r="A5" s="2" t="s">
        <v>41</v>
      </c>
      <c r="B5" s="3">
        <v>232</v>
      </c>
      <c r="C5" s="3">
        <v>232</v>
      </c>
      <c r="D5" s="3">
        <v>464</v>
      </c>
      <c r="E5" s="4">
        <v>65.66</v>
      </c>
      <c r="F5" s="4">
        <v>65.66</v>
      </c>
      <c r="G5" s="17">
        <v>14.17357124</v>
      </c>
      <c r="H5" s="17">
        <v>18.64943584</v>
      </c>
    </row>
    <row r="6" ht="15.6" spans="1:8">
      <c r="A6" s="2" t="s">
        <v>42</v>
      </c>
      <c r="B6" s="3">
        <v>1272</v>
      </c>
      <c r="C6" s="3">
        <v>1272</v>
      </c>
      <c r="D6" s="3">
        <f t="shared" ref="D5:D10" si="0">B6+C6</f>
        <v>2544</v>
      </c>
      <c r="E6" s="4">
        <v>67.3</v>
      </c>
      <c r="F6" s="4">
        <v>66.8</v>
      </c>
      <c r="G6" s="16">
        <v>12.9</v>
      </c>
      <c r="H6" s="16">
        <v>13.4</v>
      </c>
    </row>
    <row r="7" ht="15.6" spans="1:8">
      <c r="A7" s="2" t="s">
        <v>48</v>
      </c>
      <c r="B7" s="3">
        <v>4343</v>
      </c>
      <c r="C7" s="3">
        <v>7424</v>
      </c>
      <c r="D7" s="3">
        <f t="shared" si="0"/>
        <v>11767</v>
      </c>
      <c r="E7" s="4">
        <v>72.87</v>
      </c>
      <c r="F7" s="4">
        <v>70.19</v>
      </c>
      <c r="G7" s="16">
        <v>9.4</v>
      </c>
      <c r="H7" s="16">
        <v>10.2</v>
      </c>
    </row>
    <row r="8" ht="15.6" spans="1:8">
      <c r="A8" s="2" t="s">
        <v>51</v>
      </c>
      <c r="B8" s="3">
        <v>764</v>
      </c>
      <c r="C8" s="3">
        <v>1489</v>
      </c>
      <c r="D8" s="3">
        <f t="shared" si="0"/>
        <v>2253</v>
      </c>
      <c r="E8" s="4">
        <v>68.3</v>
      </c>
      <c r="F8" s="4">
        <v>64.3</v>
      </c>
      <c r="G8" s="16">
        <v>12.3</v>
      </c>
      <c r="H8" s="16">
        <v>14.1</v>
      </c>
    </row>
    <row r="9" ht="15.6" spans="1:8">
      <c r="A9" s="2" t="s">
        <v>55</v>
      </c>
      <c r="B9" s="6">
        <v>34647</v>
      </c>
      <c r="C9" s="6">
        <v>34647</v>
      </c>
      <c r="D9" s="3">
        <f t="shared" si="0"/>
        <v>69294</v>
      </c>
      <c r="E9" s="16">
        <v>72.015</v>
      </c>
      <c r="F9" s="16">
        <v>69.975</v>
      </c>
      <c r="G9" s="16">
        <v>9.65</v>
      </c>
      <c r="H9" s="16">
        <v>10.89</v>
      </c>
    </row>
    <row r="10" ht="15.6" spans="1:8">
      <c r="A10" s="2" t="s">
        <v>57</v>
      </c>
      <c r="B10" s="3">
        <v>2814</v>
      </c>
      <c r="C10" s="3">
        <v>2814</v>
      </c>
      <c r="D10" s="3">
        <f t="shared" si="0"/>
        <v>5628</v>
      </c>
      <c r="E10" s="4">
        <v>72.2</v>
      </c>
      <c r="F10" s="4">
        <v>71.8</v>
      </c>
      <c r="G10" s="16">
        <v>9.4</v>
      </c>
      <c r="H10" s="16">
        <v>9.1</v>
      </c>
    </row>
    <row r="11" ht="15.6" spans="1:8">
      <c r="A11" s="5" t="s">
        <v>61</v>
      </c>
      <c r="B11" s="6">
        <v>763</v>
      </c>
      <c r="C11" s="6">
        <v>763</v>
      </c>
      <c r="D11" s="6">
        <v>1526</v>
      </c>
      <c r="E11" s="9">
        <v>66.66666667</v>
      </c>
      <c r="F11" s="17">
        <v>66.33333333</v>
      </c>
      <c r="G11" s="17">
        <v>9.655350369</v>
      </c>
      <c r="H11" s="17">
        <v>11.88350815</v>
      </c>
    </row>
    <row r="12" ht="15.6" spans="1:8">
      <c r="A12" s="5" t="s">
        <v>63</v>
      </c>
      <c r="B12" s="6">
        <v>243</v>
      </c>
      <c r="C12" s="6">
        <v>433</v>
      </c>
      <c r="D12" s="6">
        <v>676</v>
      </c>
      <c r="E12" s="9">
        <v>59.8</v>
      </c>
      <c r="F12" s="9">
        <v>59</v>
      </c>
      <c r="G12" s="16">
        <v>9.5</v>
      </c>
      <c r="H12" s="16">
        <v>9.7</v>
      </c>
    </row>
    <row r="13" ht="15.6" spans="1:8">
      <c r="A13" s="2" t="s">
        <v>76</v>
      </c>
      <c r="B13" s="12">
        <v>1618</v>
      </c>
      <c r="C13" s="12">
        <v>1618</v>
      </c>
      <c r="D13" s="13">
        <f>B13+C13</f>
        <v>3236</v>
      </c>
      <c r="E13" s="7">
        <v>59.9</v>
      </c>
      <c r="F13" s="7">
        <v>59.8</v>
      </c>
      <c r="G13" s="7">
        <v>4.2</v>
      </c>
      <c r="H13" s="7">
        <v>4.1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C20" sqref="C20"/>
    </sheetView>
  </sheetViews>
  <sheetFormatPr defaultColWidth="8.88888888888889" defaultRowHeight="13.2" outlineLevelCol="5"/>
  <cols>
    <col min="1" max="1" width="24.3333333333333" customWidth="1"/>
    <col min="2" max="4" width="12.6296296296296"/>
    <col min="5" max="5" width="12.7777777777778" customWidth="1"/>
    <col min="6" max="6" width="16.6666666666667" customWidth="1"/>
    <col min="7" max="7" width="12.8888888888889"/>
    <col min="8" max="8" width="10.6666666666667"/>
  </cols>
  <sheetData>
    <row r="1" ht="15.6" spans="1:6">
      <c r="A1" s="1" t="s">
        <v>71</v>
      </c>
      <c r="B1" s="2" t="s">
        <v>15</v>
      </c>
      <c r="C1" s="2" t="s">
        <v>16</v>
      </c>
      <c r="D1" s="2" t="s">
        <v>17</v>
      </c>
      <c r="E1" s="2" t="s">
        <v>77</v>
      </c>
      <c r="F1" s="2" t="s">
        <v>78</v>
      </c>
    </row>
    <row r="2" ht="15.6" spans="1:6">
      <c r="A2" s="2" t="s">
        <v>18</v>
      </c>
      <c r="B2" s="3">
        <v>124</v>
      </c>
      <c r="C2" s="3">
        <v>124</v>
      </c>
      <c r="D2" s="3">
        <v>248</v>
      </c>
      <c r="E2" s="3">
        <v>6</v>
      </c>
      <c r="F2" s="3">
        <v>3</v>
      </c>
    </row>
    <row r="3" ht="15.6" spans="1:6">
      <c r="A3" s="2" t="s">
        <v>28</v>
      </c>
      <c r="B3" s="3">
        <v>566</v>
      </c>
      <c r="C3" s="3">
        <v>566</v>
      </c>
      <c r="D3" s="3">
        <f>B3+C3</f>
        <v>1132</v>
      </c>
      <c r="E3" s="7">
        <v>358</v>
      </c>
      <c r="F3" s="7">
        <v>364</v>
      </c>
    </row>
    <row r="4" ht="15.6" spans="1:6">
      <c r="A4" s="2" t="s">
        <v>33</v>
      </c>
      <c r="B4" s="6">
        <v>28237</v>
      </c>
      <c r="C4" s="6">
        <v>28237</v>
      </c>
      <c r="D4" s="3">
        <v>56474</v>
      </c>
      <c r="E4" s="7">
        <v>11267</v>
      </c>
      <c r="F4" s="7">
        <v>11295</v>
      </c>
    </row>
    <row r="5" ht="15.6" spans="1:6">
      <c r="A5" s="2" t="s">
        <v>41</v>
      </c>
      <c r="B5" s="3">
        <v>232</v>
      </c>
      <c r="C5" s="3">
        <v>232</v>
      </c>
      <c r="D5" s="3">
        <v>464</v>
      </c>
      <c r="E5" s="7">
        <v>93</v>
      </c>
      <c r="F5" s="7">
        <v>89</v>
      </c>
    </row>
    <row r="6" ht="15.6" spans="1:6">
      <c r="A6" s="2" t="s">
        <v>42</v>
      </c>
      <c r="B6" s="3">
        <v>1272</v>
      </c>
      <c r="C6" s="3">
        <v>1272</v>
      </c>
      <c r="D6" s="3">
        <f t="shared" ref="D5:D10" si="0">B6+C6</f>
        <v>2544</v>
      </c>
      <c r="E6" s="7">
        <v>118</v>
      </c>
      <c r="F6" s="7">
        <v>154</v>
      </c>
    </row>
    <row r="7" ht="15.6" spans="1:6">
      <c r="A7" s="2" t="s">
        <v>48</v>
      </c>
      <c r="B7" s="3">
        <v>4343</v>
      </c>
      <c r="C7" s="3">
        <v>7424</v>
      </c>
      <c r="D7" s="3">
        <f t="shared" si="0"/>
        <v>11767</v>
      </c>
      <c r="E7" s="7">
        <v>577</v>
      </c>
      <c r="F7" s="7">
        <v>1388</v>
      </c>
    </row>
    <row r="8" ht="15.6" spans="1:6">
      <c r="A8" s="2" t="s">
        <v>51</v>
      </c>
      <c r="B8" s="3">
        <v>764</v>
      </c>
      <c r="C8" s="3">
        <v>1489</v>
      </c>
      <c r="D8" s="3">
        <f t="shared" si="0"/>
        <v>2253</v>
      </c>
      <c r="E8" s="7">
        <v>486</v>
      </c>
      <c r="F8" s="7">
        <v>814</v>
      </c>
    </row>
    <row r="9" ht="15.6" spans="1:6">
      <c r="A9" s="2" t="s">
        <v>55</v>
      </c>
      <c r="B9" s="6">
        <v>34647</v>
      </c>
      <c r="C9" s="6">
        <v>34647</v>
      </c>
      <c r="D9" s="3">
        <f t="shared" si="0"/>
        <v>69294</v>
      </c>
      <c r="E9" s="7">
        <v>16769</v>
      </c>
      <c r="F9" s="7">
        <v>16769</v>
      </c>
    </row>
    <row r="10" ht="15.6" spans="1:6">
      <c r="A10" s="2" t="s">
        <v>57</v>
      </c>
      <c r="B10" s="3">
        <v>2814</v>
      </c>
      <c r="C10" s="3">
        <v>2814</v>
      </c>
      <c r="D10" s="3">
        <f t="shared" si="0"/>
        <v>5628</v>
      </c>
      <c r="E10" s="7">
        <v>687</v>
      </c>
      <c r="F10" s="7">
        <v>698</v>
      </c>
    </row>
    <row r="11" ht="15.6" spans="1:6">
      <c r="A11" s="5" t="s">
        <v>61</v>
      </c>
      <c r="B11" s="6">
        <v>763</v>
      </c>
      <c r="C11" s="6">
        <v>763</v>
      </c>
      <c r="D11" s="6">
        <v>1526</v>
      </c>
      <c r="E11" s="7">
        <v>457</v>
      </c>
      <c r="F11" s="7">
        <v>453</v>
      </c>
    </row>
    <row r="12" ht="15.6" spans="1:6">
      <c r="A12" s="5" t="s">
        <v>63</v>
      </c>
      <c r="B12" s="6">
        <v>243</v>
      </c>
      <c r="C12" s="6">
        <v>433</v>
      </c>
      <c r="D12" s="6">
        <v>676</v>
      </c>
      <c r="E12" s="6">
        <v>0</v>
      </c>
      <c r="F12" s="6">
        <v>0</v>
      </c>
    </row>
    <row r="13" ht="15.6" spans="1:6">
      <c r="A13" s="2" t="s">
        <v>76</v>
      </c>
      <c r="B13" s="12">
        <v>1618</v>
      </c>
      <c r="C13" s="12">
        <v>1618</v>
      </c>
      <c r="D13" s="13">
        <f>B13+C13</f>
        <v>3236</v>
      </c>
      <c r="E13" s="7">
        <v>1304</v>
      </c>
      <c r="F13" s="7">
        <v>1291</v>
      </c>
    </row>
    <row r="14" spans="5:6">
      <c r="E14" s="7"/>
      <c r="F14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A1" sqref="A$1:A$1048576"/>
    </sheetView>
  </sheetViews>
  <sheetFormatPr defaultColWidth="8.88888888888889" defaultRowHeight="13.2" outlineLevelCol="5"/>
  <cols>
    <col min="1" max="1" width="24.3333333333333" customWidth="1"/>
    <col min="2" max="4" width="12.6296296296296"/>
    <col min="5" max="5" width="10.8888888888889" customWidth="1"/>
  </cols>
  <sheetData>
    <row r="1" ht="15.6" spans="1:6">
      <c r="A1" s="1" t="s">
        <v>71</v>
      </c>
      <c r="B1" s="2" t="s">
        <v>15</v>
      </c>
      <c r="C1" s="2" t="s">
        <v>16</v>
      </c>
      <c r="D1" s="2" t="s">
        <v>17</v>
      </c>
      <c r="E1" s="2" t="s">
        <v>77</v>
      </c>
      <c r="F1" s="2" t="s">
        <v>78</v>
      </c>
    </row>
    <row r="2" ht="15.6" spans="1:6">
      <c r="A2" s="2" t="s">
        <v>18</v>
      </c>
      <c r="B2" s="3">
        <v>124</v>
      </c>
      <c r="C2" s="3">
        <v>124</v>
      </c>
      <c r="D2" s="3">
        <v>248</v>
      </c>
      <c r="E2" s="6">
        <v>39</v>
      </c>
      <c r="F2" s="15">
        <v>39</v>
      </c>
    </row>
    <row r="3" ht="15.6" spans="1:6">
      <c r="A3" s="2" t="s">
        <v>28</v>
      </c>
      <c r="B3" s="3">
        <v>566</v>
      </c>
      <c r="C3" s="3">
        <v>566</v>
      </c>
      <c r="D3" s="3">
        <f>B3+C3</f>
        <v>1132</v>
      </c>
      <c r="E3" s="7">
        <v>48</v>
      </c>
      <c r="F3" s="7">
        <v>59</v>
      </c>
    </row>
    <row r="4" ht="15.6" spans="1:6">
      <c r="A4" s="2" t="s">
        <v>33</v>
      </c>
      <c r="B4" s="6">
        <v>28237</v>
      </c>
      <c r="C4" s="6">
        <v>28237</v>
      </c>
      <c r="D4" s="3">
        <v>56474</v>
      </c>
      <c r="E4" s="7">
        <v>0</v>
      </c>
      <c r="F4" s="7">
        <v>0</v>
      </c>
    </row>
    <row r="5" ht="15.6" spans="1:6">
      <c r="A5" s="2" t="s">
        <v>41</v>
      </c>
      <c r="B5" s="3">
        <v>232</v>
      </c>
      <c r="C5" s="3">
        <v>232</v>
      </c>
      <c r="D5" s="3">
        <v>464</v>
      </c>
      <c r="E5" s="7">
        <v>45</v>
      </c>
      <c r="F5" s="7">
        <v>41</v>
      </c>
    </row>
    <row r="6" ht="15.6" spans="1:6">
      <c r="A6" s="2" t="s">
        <v>48</v>
      </c>
      <c r="B6" s="3">
        <v>4343</v>
      </c>
      <c r="C6" s="3">
        <v>7424</v>
      </c>
      <c r="D6" s="3">
        <f>B6+C6</f>
        <v>11767</v>
      </c>
      <c r="E6" s="7">
        <v>0</v>
      </c>
      <c r="F6" s="7">
        <v>0</v>
      </c>
    </row>
    <row r="7" ht="15.6" spans="1:6">
      <c r="A7" s="2" t="s">
        <v>51</v>
      </c>
      <c r="B7" s="3">
        <v>764</v>
      </c>
      <c r="C7" s="3">
        <v>1489</v>
      </c>
      <c r="D7" s="3">
        <f>B7+C7</f>
        <v>2253</v>
      </c>
      <c r="E7" s="7">
        <v>84</v>
      </c>
      <c r="F7" s="7">
        <v>298</v>
      </c>
    </row>
    <row r="8" ht="15.6" spans="1:6">
      <c r="A8" s="2" t="s">
        <v>55</v>
      </c>
      <c r="B8" s="6">
        <v>34647</v>
      </c>
      <c r="C8" s="6">
        <v>34647</v>
      </c>
      <c r="D8" s="3">
        <f>B8+C8</f>
        <v>69294</v>
      </c>
      <c r="E8" s="7">
        <v>0</v>
      </c>
      <c r="F8" s="7">
        <v>0</v>
      </c>
    </row>
    <row r="9" ht="15.6" spans="1:6">
      <c r="A9" s="2" t="s">
        <v>57</v>
      </c>
      <c r="B9" s="3">
        <v>2814</v>
      </c>
      <c r="C9" s="3">
        <v>2814</v>
      </c>
      <c r="D9" s="3">
        <f>B9+C9</f>
        <v>5628</v>
      </c>
      <c r="E9" s="7">
        <v>205</v>
      </c>
      <c r="F9" s="7">
        <v>217</v>
      </c>
    </row>
    <row r="10" ht="15.6" spans="1:6">
      <c r="A10" s="5" t="s">
        <v>61</v>
      </c>
      <c r="B10" s="6">
        <v>763</v>
      </c>
      <c r="C10" s="6">
        <v>763</v>
      </c>
      <c r="D10" s="6">
        <v>1526</v>
      </c>
      <c r="E10" s="7">
        <v>137</v>
      </c>
      <c r="F10" s="7">
        <v>133</v>
      </c>
    </row>
    <row r="11" ht="15.6" spans="1:6">
      <c r="A11" s="5" t="s">
        <v>63</v>
      </c>
      <c r="B11" s="6">
        <v>243</v>
      </c>
      <c r="C11" s="6">
        <v>433</v>
      </c>
      <c r="D11" s="6">
        <v>676</v>
      </c>
      <c r="E11" s="7">
        <v>66</v>
      </c>
      <c r="F11" s="7">
        <v>128</v>
      </c>
    </row>
    <row r="12" ht="15.6" spans="1:6">
      <c r="A12" s="2" t="s">
        <v>76</v>
      </c>
      <c r="B12" s="12">
        <v>1618</v>
      </c>
      <c r="C12" s="12">
        <v>1618</v>
      </c>
      <c r="D12" s="13">
        <f>B12+C12</f>
        <v>3236</v>
      </c>
      <c r="E12" s="7">
        <v>0</v>
      </c>
      <c r="F12" s="7">
        <v>0</v>
      </c>
    </row>
    <row r="13" spans="5:6">
      <c r="E13" s="7"/>
      <c r="F13" s="7"/>
    </row>
    <row r="14" spans="5:6">
      <c r="E14" s="7"/>
      <c r="F14" s="7"/>
    </row>
    <row r="15" spans="5:6">
      <c r="E15" s="7"/>
      <c r="F15" s="7"/>
    </row>
    <row r="16" spans="5:6">
      <c r="E16" s="7"/>
      <c r="F16" s="7"/>
    </row>
    <row r="17" spans="5:6">
      <c r="E17" s="7"/>
      <c r="F17" s="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$A1:$XFD1"/>
    </sheetView>
  </sheetViews>
  <sheetFormatPr defaultColWidth="8.88888888888889" defaultRowHeight="13.2" outlineLevelRow="5" outlineLevelCol="7"/>
  <cols>
    <col min="1" max="1" width="24.3333333333333" customWidth="1"/>
    <col min="2" max="4" width="12.6296296296296"/>
    <col min="5" max="5" width="15.7777777777778" customWidth="1"/>
    <col min="6" max="6" width="12.6666666666667" customWidth="1"/>
    <col min="7" max="7" width="13.7777777777778" customWidth="1"/>
    <col min="8" max="8" width="11.8888888888889" customWidth="1"/>
  </cols>
  <sheetData>
    <row r="1" ht="15.6" spans="1:8">
      <c r="A1" s="1" t="s">
        <v>71</v>
      </c>
      <c r="B1" s="2" t="s">
        <v>15</v>
      </c>
      <c r="C1" s="2" t="s">
        <v>16</v>
      </c>
      <c r="D1" s="2" t="s">
        <v>17</v>
      </c>
      <c r="E1" s="2" t="s">
        <v>72</v>
      </c>
      <c r="F1" s="2" t="s">
        <v>73</v>
      </c>
      <c r="G1" s="2" t="s">
        <v>74</v>
      </c>
      <c r="H1" s="2" t="s">
        <v>75</v>
      </c>
    </row>
    <row r="2" ht="15.6" spans="1:8">
      <c r="A2" s="2" t="s">
        <v>18</v>
      </c>
      <c r="B2" s="4">
        <v>124</v>
      </c>
      <c r="C2" s="4">
        <v>124</v>
      </c>
      <c r="D2" s="4">
        <v>248</v>
      </c>
      <c r="E2" s="4">
        <v>61</v>
      </c>
      <c r="F2" s="4">
        <v>61.5</v>
      </c>
      <c r="G2" s="4">
        <v>5.250556019</v>
      </c>
      <c r="H2" s="4">
        <v>6.375675166</v>
      </c>
    </row>
    <row r="3" ht="15.6" spans="1:8">
      <c r="A3" s="2" t="s">
        <v>41</v>
      </c>
      <c r="B3" s="4">
        <v>232</v>
      </c>
      <c r="C3" s="4">
        <v>232</v>
      </c>
      <c r="D3" s="4">
        <v>464</v>
      </c>
      <c r="E3" s="4">
        <v>57.47</v>
      </c>
      <c r="F3" s="4">
        <v>57.95</v>
      </c>
      <c r="G3" s="4">
        <v>11.21</v>
      </c>
      <c r="H3" s="4">
        <v>10.99</v>
      </c>
    </row>
    <row r="4" ht="15.6" spans="1:8">
      <c r="A4" s="5" t="s">
        <v>61</v>
      </c>
      <c r="B4" s="9">
        <v>763</v>
      </c>
      <c r="C4" s="9">
        <v>763</v>
      </c>
      <c r="D4" s="9">
        <v>1526</v>
      </c>
      <c r="E4" s="8">
        <v>57.66666667</v>
      </c>
      <c r="F4" s="8">
        <v>58.33333333</v>
      </c>
      <c r="G4" s="8">
        <v>9.655350369</v>
      </c>
      <c r="H4" s="8">
        <v>11.14078889</v>
      </c>
    </row>
    <row r="5" ht="15.6" spans="1:8">
      <c r="A5" s="5" t="s">
        <v>63</v>
      </c>
      <c r="B5" s="9">
        <v>243</v>
      </c>
      <c r="C5" s="9">
        <v>433</v>
      </c>
      <c r="D5" s="9">
        <v>676</v>
      </c>
      <c r="E5" s="9">
        <v>46</v>
      </c>
      <c r="F5" s="9">
        <v>45</v>
      </c>
      <c r="G5" s="4">
        <v>21</v>
      </c>
      <c r="H5" s="4">
        <v>18</v>
      </c>
    </row>
    <row r="6" ht="15.6" spans="1:8">
      <c r="A6" s="2" t="s">
        <v>76</v>
      </c>
      <c r="B6" s="6">
        <v>1618</v>
      </c>
      <c r="C6" s="6">
        <v>1618</v>
      </c>
      <c r="D6" s="14">
        <f>B6+C6</f>
        <v>3236</v>
      </c>
      <c r="E6" s="3">
        <v>61.1</v>
      </c>
      <c r="F6" s="3">
        <v>61.4</v>
      </c>
      <c r="G6" s="3">
        <v>10.1</v>
      </c>
      <c r="H6" s="3">
        <v>9.7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2" sqref="A2"/>
    </sheetView>
  </sheetViews>
  <sheetFormatPr defaultColWidth="8.88888888888889" defaultRowHeight="13.2" outlineLevelCol="5"/>
  <cols>
    <col min="1" max="1" width="24.3333333333333" customWidth="1"/>
    <col min="2" max="4" width="12.6296296296296"/>
    <col min="5" max="5" width="11" customWidth="1"/>
    <col min="7" max="8" width="12.8888888888889"/>
  </cols>
  <sheetData>
    <row r="1" ht="15.6" spans="1:6">
      <c r="A1" s="1" t="s">
        <v>71</v>
      </c>
      <c r="B1" s="2" t="s">
        <v>15</v>
      </c>
      <c r="C1" s="2" t="s">
        <v>16</v>
      </c>
      <c r="D1" s="2" t="s">
        <v>17</v>
      </c>
      <c r="E1" s="2" t="s">
        <v>77</v>
      </c>
      <c r="F1" s="2" t="s">
        <v>78</v>
      </c>
    </row>
    <row r="2" ht="15.6" spans="1:6">
      <c r="A2" s="2" t="s">
        <v>28</v>
      </c>
      <c r="B2" s="3">
        <v>566</v>
      </c>
      <c r="C2" s="3">
        <v>566</v>
      </c>
      <c r="D2" s="3">
        <f>B2+C2</f>
        <v>1132</v>
      </c>
      <c r="E2" s="3">
        <v>127</v>
      </c>
      <c r="F2" s="3">
        <v>126</v>
      </c>
    </row>
    <row r="3" ht="15.6" spans="1:6">
      <c r="A3" s="2" t="s">
        <v>33</v>
      </c>
      <c r="B3" s="6">
        <v>28237</v>
      </c>
      <c r="C3" s="6">
        <v>28237</v>
      </c>
      <c r="D3" s="3">
        <v>56474</v>
      </c>
      <c r="E3" s="3">
        <v>18278</v>
      </c>
      <c r="F3" s="3">
        <v>18255</v>
      </c>
    </row>
    <row r="4" ht="15.6" spans="1:6">
      <c r="A4" s="2" t="s">
        <v>41</v>
      </c>
      <c r="B4" s="3">
        <v>232</v>
      </c>
      <c r="C4" s="3">
        <v>232</v>
      </c>
      <c r="D4" s="3">
        <v>464</v>
      </c>
      <c r="E4" s="3">
        <v>111</v>
      </c>
      <c r="F4" s="3">
        <v>112</v>
      </c>
    </row>
    <row r="5" ht="15.6" spans="1:6">
      <c r="A5" s="2" t="s">
        <v>42</v>
      </c>
      <c r="B5" s="3">
        <v>1272</v>
      </c>
      <c r="C5" s="3">
        <v>1272</v>
      </c>
      <c r="D5" s="3">
        <f>B5+C5</f>
        <v>2544</v>
      </c>
      <c r="E5" s="3">
        <v>361</v>
      </c>
      <c r="F5" s="3">
        <v>357</v>
      </c>
    </row>
    <row r="6" ht="15.6" spans="1:6">
      <c r="A6" s="2" t="s">
        <v>48</v>
      </c>
      <c r="B6" s="3">
        <v>4343</v>
      </c>
      <c r="C6" s="3">
        <v>7424</v>
      </c>
      <c r="D6" s="3">
        <f>B6+C6</f>
        <v>11767</v>
      </c>
      <c r="E6" s="3">
        <v>1763</v>
      </c>
      <c r="F6" s="3">
        <v>2692</v>
      </c>
    </row>
    <row r="7" ht="15.6" spans="1:6">
      <c r="A7" s="2" t="s">
        <v>51</v>
      </c>
      <c r="B7" s="3">
        <v>764</v>
      </c>
      <c r="C7" s="3">
        <v>1489</v>
      </c>
      <c r="D7" s="3">
        <f>B7+C7</f>
        <v>2253</v>
      </c>
      <c r="E7" s="3">
        <v>447</v>
      </c>
      <c r="F7" s="3">
        <v>758</v>
      </c>
    </row>
    <row r="8" ht="15.6" spans="1:6">
      <c r="A8" s="5" t="s">
        <v>61</v>
      </c>
      <c r="B8" s="6">
        <v>763</v>
      </c>
      <c r="C8" s="6">
        <v>763</v>
      </c>
      <c r="D8" s="6">
        <v>1526</v>
      </c>
      <c r="E8" s="6">
        <v>637</v>
      </c>
      <c r="F8" s="6">
        <v>645</v>
      </c>
    </row>
    <row r="9" ht="15.6" spans="1:6">
      <c r="A9" s="5" t="s">
        <v>63</v>
      </c>
      <c r="B9" s="6">
        <v>243</v>
      </c>
      <c r="C9" s="6">
        <v>433</v>
      </c>
      <c r="D9" s="6">
        <v>676</v>
      </c>
      <c r="E9" s="6">
        <v>138</v>
      </c>
      <c r="F9" s="6">
        <v>243</v>
      </c>
    </row>
    <row r="10" ht="15.6" spans="1:6">
      <c r="A10" s="2" t="s">
        <v>76</v>
      </c>
      <c r="B10" s="12">
        <v>1618</v>
      </c>
      <c r="C10" s="12">
        <v>1618</v>
      </c>
      <c r="D10" s="13">
        <f>B10+C10</f>
        <v>3236</v>
      </c>
      <c r="E10" s="7">
        <v>1000</v>
      </c>
      <c r="F10" s="7">
        <v>970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2" sqref="A2"/>
    </sheetView>
  </sheetViews>
  <sheetFormatPr defaultColWidth="8.88888888888889" defaultRowHeight="13.2" outlineLevelCol="5"/>
  <cols>
    <col min="1" max="1" width="24.3333333333333" customWidth="1"/>
    <col min="2" max="4" width="12.6296296296296"/>
    <col min="5" max="5" width="11.4444444444444" customWidth="1"/>
    <col min="7" max="8" width="12.8888888888889"/>
  </cols>
  <sheetData>
    <row r="1" ht="15.6" spans="1:6">
      <c r="A1" s="1" t="s">
        <v>71</v>
      </c>
      <c r="B1" s="2" t="s">
        <v>15</v>
      </c>
      <c r="C1" s="2" t="s">
        <v>16</v>
      </c>
      <c r="D1" s="2" t="s">
        <v>17</v>
      </c>
      <c r="E1" s="2" t="s">
        <v>77</v>
      </c>
      <c r="F1" s="2" t="s">
        <v>78</v>
      </c>
    </row>
    <row r="2" ht="15.6" spans="1:6">
      <c r="A2" s="2" t="s">
        <v>28</v>
      </c>
      <c r="B2" s="3">
        <v>566</v>
      </c>
      <c r="C2" s="3">
        <v>566</v>
      </c>
      <c r="D2" s="3">
        <f>B2+C2</f>
        <v>1132</v>
      </c>
      <c r="E2" s="3">
        <v>53</v>
      </c>
      <c r="F2" s="3">
        <v>53</v>
      </c>
    </row>
    <row r="3" ht="15.6" spans="1:6">
      <c r="A3" s="2" t="s">
        <v>33</v>
      </c>
      <c r="B3" s="6">
        <v>28237</v>
      </c>
      <c r="C3" s="6">
        <v>28237</v>
      </c>
      <c r="D3" s="3">
        <v>56474</v>
      </c>
      <c r="E3" s="3">
        <v>6774</v>
      </c>
      <c r="F3" s="3">
        <v>6757</v>
      </c>
    </row>
    <row r="4" ht="15.6" spans="1:6">
      <c r="A4" s="2" t="s">
        <v>41</v>
      </c>
      <c r="B4" s="3">
        <v>232</v>
      </c>
      <c r="C4" s="3">
        <v>232</v>
      </c>
      <c r="D4" s="3">
        <v>464</v>
      </c>
      <c r="E4" s="3">
        <v>32</v>
      </c>
      <c r="F4" s="3">
        <v>31</v>
      </c>
    </row>
    <row r="5" ht="15.6" spans="1:6">
      <c r="A5" s="2" t="s">
        <v>42</v>
      </c>
      <c r="B5" s="3">
        <v>1272</v>
      </c>
      <c r="C5" s="3">
        <v>1272</v>
      </c>
      <c r="D5" s="3">
        <f>B5+C5</f>
        <v>2544</v>
      </c>
      <c r="E5" s="3">
        <v>118</v>
      </c>
      <c r="F5" s="3">
        <v>121</v>
      </c>
    </row>
    <row r="6" ht="15.6" spans="1:6">
      <c r="A6" s="2" t="s">
        <v>48</v>
      </c>
      <c r="B6" s="3">
        <v>4343</v>
      </c>
      <c r="C6" s="3">
        <v>7424</v>
      </c>
      <c r="D6" s="3">
        <f>B6+C6</f>
        <v>11767</v>
      </c>
      <c r="E6" s="3">
        <v>838</v>
      </c>
      <c r="F6" s="3">
        <v>1579</v>
      </c>
    </row>
    <row r="7" ht="15.6" spans="1:6">
      <c r="A7" s="2" t="s">
        <v>51</v>
      </c>
      <c r="B7" s="3">
        <v>764</v>
      </c>
      <c r="C7" s="3">
        <v>1489</v>
      </c>
      <c r="D7" s="3">
        <f>B7+C7</f>
        <v>2253</v>
      </c>
      <c r="E7" s="3">
        <v>42</v>
      </c>
      <c r="F7" s="3">
        <v>65</v>
      </c>
    </row>
    <row r="8" ht="15.6" spans="1:6">
      <c r="A8" s="2" t="s">
        <v>55</v>
      </c>
      <c r="B8" s="6">
        <v>34647</v>
      </c>
      <c r="C8" s="6">
        <v>34647</v>
      </c>
      <c r="D8" s="3">
        <f>B8+C8</f>
        <v>69294</v>
      </c>
      <c r="E8" s="3">
        <v>8518</v>
      </c>
      <c r="F8" s="3">
        <v>8081</v>
      </c>
    </row>
    <row r="9" ht="15.6" spans="1:6">
      <c r="A9" s="5" t="s">
        <v>61</v>
      </c>
      <c r="B9" s="6">
        <v>763</v>
      </c>
      <c r="C9" s="6">
        <v>763</v>
      </c>
      <c r="D9" s="6">
        <v>1526</v>
      </c>
      <c r="E9" s="6">
        <v>240</v>
      </c>
      <c r="F9" s="6">
        <v>243</v>
      </c>
    </row>
    <row r="10" ht="15.6" spans="1:6">
      <c r="A10" s="5" t="s">
        <v>63</v>
      </c>
      <c r="B10" s="6">
        <v>243</v>
      </c>
      <c r="C10" s="6">
        <v>433</v>
      </c>
      <c r="D10" s="6">
        <v>676</v>
      </c>
      <c r="E10" s="6">
        <v>42</v>
      </c>
      <c r="F10" s="6">
        <v>73</v>
      </c>
    </row>
    <row r="11" ht="15.6" spans="1:6">
      <c r="A11" s="2" t="s">
        <v>76</v>
      </c>
      <c r="B11" s="12">
        <v>1618</v>
      </c>
      <c r="C11" s="12">
        <v>1618</v>
      </c>
      <c r="D11" s="13">
        <f>B11+C11</f>
        <v>3236</v>
      </c>
      <c r="E11" s="7">
        <v>353</v>
      </c>
      <c r="F11" s="7">
        <v>359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$A1:$XFD1"/>
    </sheetView>
  </sheetViews>
  <sheetFormatPr defaultColWidth="8.88888888888889" defaultRowHeight="13.2" outlineLevelRow="7" outlineLevelCol="5"/>
  <cols>
    <col min="1" max="1" width="24.3333333333333" customWidth="1"/>
    <col min="2" max="4" width="12.6296296296296"/>
    <col min="5" max="5" width="10.5555555555556" customWidth="1"/>
    <col min="7" max="8" width="12.8888888888889"/>
  </cols>
  <sheetData>
    <row r="1" ht="15.6" spans="1:6">
      <c r="A1" s="1" t="s">
        <v>71</v>
      </c>
      <c r="B1" s="2" t="s">
        <v>15</v>
      </c>
      <c r="C1" s="2" t="s">
        <v>16</v>
      </c>
      <c r="D1" s="2" t="s">
        <v>17</v>
      </c>
      <c r="E1" s="2" t="s">
        <v>77</v>
      </c>
      <c r="F1" s="2" t="s">
        <v>78</v>
      </c>
    </row>
    <row r="2" ht="15.6" spans="1:6">
      <c r="A2" s="2" t="s">
        <v>18</v>
      </c>
      <c r="B2" s="3">
        <v>124</v>
      </c>
      <c r="C2" s="3">
        <v>124</v>
      </c>
      <c r="D2" s="3">
        <v>248</v>
      </c>
      <c r="E2" s="3">
        <v>16</v>
      </c>
      <c r="F2" s="3">
        <v>16</v>
      </c>
    </row>
    <row r="3" ht="15.6" spans="1:6">
      <c r="A3" s="2" t="s">
        <v>28</v>
      </c>
      <c r="B3" s="3">
        <v>566</v>
      </c>
      <c r="C3" s="3">
        <v>566</v>
      </c>
      <c r="D3" s="3">
        <f>B3+C3</f>
        <v>1132</v>
      </c>
      <c r="E3" s="3">
        <v>27</v>
      </c>
      <c r="F3" s="3">
        <v>25</v>
      </c>
    </row>
    <row r="4" ht="15.6" spans="1:6">
      <c r="A4" s="2" t="s">
        <v>33</v>
      </c>
      <c r="B4" s="6">
        <v>28237</v>
      </c>
      <c r="C4" s="6">
        <v>28237</v>
      </c>
      <c r="D4" s="3">
        <v>56474</v>
      </c>
      <c r="E4" s="3">
        <v>6943</v>
      </c>
      <c r="F4" s="3">
        <v>6905</v>
      </c>
    </row>
    <row r="5" ht="15.6" spans="1:6">
      <c r="A5" s="2" t="s">
        <v>42</v>
      </c>
      <c r="B5" s="3">
        <v>1272</v>
      </c>
      <c r="C5" s="3">
        <v>1272</v>
      </c>
      <c r="D5" s="3">
        <f>B5+C5</f>
        <v>2544</v>
      </c>
      <c r="E5" s="3">
        <v>40</v>
      </c>
      <c r="F5" s="3">
        <v>36</v>
      </c>
    </row>
    <row r="6" ht="15.6" spans="1:6">
      <c r="A6" s="2" t="s">
        <v>55</v>
      </c>
      <c r="B6" s="6">
        <v>34647</v>
      </c>
      <c r="C6" s="6">
        <v>34647</v>
      </c>
      <c r="D6" s="3">
        <f>B6+C6</f>
        <v>69294</v>
      </c>
      <c r="E6" s="3">
        <v>8929</v>
      </c>
      <c r="F6" s="3">
        <v>11018</v>
      </c>
    </row>
    <row r="7" ht="15.6" spans="1:6">
      <c r="A7" s="5" t="s">
        <v>61</v>
      </c>
      <c r="B7" s="6">
        <v>763</v>
      </c>
      <c r="C7" s="6">
        <v>763</v>
      </c>
      <c r="D7" s="6">
        <v>1526</v>
      </c>
      <c r="E7" s="6">
        <v>94</v>
      </c>
      <c r="F7" s="6">
        <v>83</v>
      </c>
    </row>
    <row r="8" ht="15.6" spans="1:6">
      <c r="A8" s="5" t="s">
        <v>63</v>
      </c>
      <c r="B8" s="6">
        <v>243</v>
      </c>
      <c r="C8" s="6">
        <v>433</v>
      </c>
      <c r="D8" s="6">
        <v>676</v>
      </c>
      <c r="E8" s="6">
        <v>180</v>
      </c>
      <c r="F8" s="6">
        <v>313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$A1:$XFD1"/>
    </sheetView>
  </sheetViews>
  <sheetFormatPr defaultColWidth="8.88888888888889" defaultRowHeight="13.2" outlineLevelCol="5"/>
  <cols>
    <col min="1" max="1" width="24.3333333333333" customWidth="1"/>
    <col min="2" max="4" width="12.6296296296296"/>
    <col min="5" max="5" width="11" customWidth="1"/>
    <col min="7" max="8" width="12.8888888888889"/>
  </cols>
  <sheetData>
    <row r="1" ht="15.6" spans="1:6">
      <c r="A1" s="1" t="s">
        <v>71</v>
      </c>
      <c r="B1" s="2" t="s">
        <v>15</v>
      </c>
      <c r="C1" s="2" t="s">
        <v>16</v>
      </c>
      <c r="D1" s="2" t="s">
        <v>17</v>
      </c>
      <c r="E1" s="2" t="s">
        <v>77</v>
      </c>
      <c r="F1" s="2" t="s">
        <v>78</v>
      </c>
    </row>
    <row r="2" ht="15.6" spans="1:6">
      <c r="A2" s="2" t="s">
        <v>28</v>
      </c>
      <c r="B2" s="4">
        <v>566</v>
      </c>
      <c r="C2" s="4">
        <v>566</v>
      </c>
      <c r="D2" s="4">
        <f>B2+C2</f>
        <v>1132</v>
      </c>
      <c r="E2" s="4">
        <v>72</v>
      </c>
      <c r="F2" s="4">
        <v>70</v>
      </c>
    </row>
    <row r="3" ht="15.6" spans="1:6">
      <c r="A3" s="2" t="s">
        <v>33</v>
      </c>
      <c r="B3" s="9">
        <v>28237</v>
      </c>
      <c r="C3" s="9">
        <v>28237</v>
      </c>
      <c r="D3" s="4">
        <v>56474</v>
      </c>
      <c r="E3" s="4">
        <v>11537</v>
      </c>
      <c r="F3" s="4">
        <v>11429</v>
      </c>
    </row>
    <row r="4" ht="15.6" spans="1:6">
      <c r="A4" s="2" t="s">
        <v>41</v>
      </c>
      <c r="B4" s="4">
        <v>232</v>
      </c>
      <c r="C4" s="4">
        <v>232</v>
      </c>
      <c r="D4" s="4">
        <v>464</v>
      </c>
      <c r="E4" s="4">
        <v>22</v>
      </c>
      <c r="F4" s="4">
        <v>21</v>
      </c>
    </row>
    <row r="5" ht="15.6" spans="1:6">
      <c r="A5" s="2" t="s">
        <v>48</v>
      </c>
      <c r="B5" s="4">
        <v>4343</v>
      </c>
      <c r="C5" s="4">
        <v>7424</v>
      </c>
      <c r="D5" s="4">
        <f>B5+C5</f>
        <v>11767</v>
      </c>
      <c r="E5" s="4">
        <v>668</v>
      </c>
      <c r="F5" s="4">
        <v>1256</v>
      </c>
    </row>
    <row r="6" ht="15.6" spans="1:6">
      <c r="A6" s="2" t="s">
        <v>51</v>
      </c>
      <c r="B6" s="4">
        <v>764</v>
      </c>
      <c r="C6" s="4">
        <v>1489</v>
      </c>
      <c r="D6" s="4">
        <f>B6+C6</f>
        <v>2253</v>
      </c>
      <c r="E6" s="4">
        <v>30</v>
      </c>
      <c r="F6" s="4">
        <v>49</v>
      </c>
    </row>
    <row r="7" ht="15.6" spans="1:6">
      <c r="A7" s="2" t="s">
        <v>55</v>
      </c>
      <c r="B7" s="9">
        <v>34647</v>
      </c>
      <c r="C7" s="9">
        <v>34647</v>
      </c>
      <c r="D7" s="4">
        <f>B7+C7</f>
        <v>69294</v>
      </c>
      <c r="E7" s="4">
        <v>12210</v>
      </c>
      <c r="F7" s="4">
        <v>11429</v>
      </c>
    </row>
    <row r="8" ht="15.6" spans="1:6">
      <c r="A8" s="2" t="s">
        <v>57</v>
      </c>
      <c r="B8" s="4">
        <v>2814</v>
      </c>
      <c r="C8" s="4">
        <v>2814</v>
      </c>
      <c r="D8" s="4">
        <f>B8+C8</f>
        <v>5628</v>
      </c>
      <c r="E8" s="4">
        <v>425</v>
      </c>
      <c r="F8" s="4">
        <v>413</v>
      </c>
    </row>
    <row r="9" ht="15.6" spans="1:6">
      <c r="A9" s="2" t="s">
        <v>76</v>
      </c>
      <c r="B9" s="12">
        <v>1618</v>
      </c>
      <c r="C9" s="12">
        <v>1618</v>
      </c>
      <c r="D9" s="13">
        <f>B9+C9</f>
        <v>3236</v>
      </c>
      <c r="E9" s="7">
        <v>124</v>
      </c>
      <c r="F9" s="7">
        <v>121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$A1:$XFD1"/>
    </sheetView>
  </sheetViews>
  <sheetFormatPr defaultColWidth="8.88888888888889" defaultRowHeight="13.2" outlineLevelCol="5"/>
  <cols>
    <col min="1" max="1" width="21.1111111111111" customWidth="1"/>
  </cols>
  <sheetData>
    <row r="1" ht="15.6" spans="1:6">
      <c r="A1" s="1" t="s">
        <v>71</v>
      </c>
      <c r="B1" s="2" t="s">
        <v>15</v>
      </c>
      <c r="C1" s="2" t="s">
        <v>16</v>
      </c>
      <c r="D1" s="2" t="s">
        <v>17</v>
      </c>
      <c r="E1" s="2" t="s">
        <v>77</v>
      </c>
      <c r="F1" s="2" t="s">
        <v>78</v>
      </c>
    </row>
    <row r="2" ht="15.6" spans="1:6">
      <c r="A2" s="2" t="s">
        <v>28</v>
      </c>
      <c r="B2" s="4">
        <v>566</v>
      </c>
      <c r="C2" s="4">
        <v>566</v>
      </c>
      <c r="D2" s="4">
        <f>B2+C2</f>
        <v>1132</v>
      </c>
      <c r="E2" s="4">
        <v>58</v>
      </c>
      <c r="F2" s="4">
        <v>71</v>
      </c>
    </row>
    <row r="3" ht="15.6" spans="1:6">
      <c r="A3" s="2" t="s">
        <v>33</v>
      </c>
      <c r="B3" s="9">
        <v>28237</v>
      </c>
      <c r="C3" s="9">
        <v>28237</v>
      </c>
      <c r="D3" s="4">
        <v>56474</v>
      </c>
      <c r="E3" s="4">
        <v>5708</v>
      </c>
      <c r="F3" s="4">
        <v>5713</v>
      </c>
    </row>
    <row r="4" ht="15.6" spans="1:6">
      <c r="A4" s="2" t="s">
        <v>41</v>
      </c>
      <c r="B4" s="4">
        <v>232</v>
      </c>
      <c r="C4" s="4">
        <v>232</v>
      </c>
      <c r="D4" s="4">
        <v>464</v>
      </c>
      <c r="E4" s="4">
        <v>27</v>
      </c>
      <c r="F4" s="4">
        <v>27</v>
      </c>
    </row>
    <row r="5" ht="15.6" spans="1:6">
      <c r="A5" s="2" t="s">
        <v>42</v>
      </c>
      <c r="B5" s="4">
        <v>1272</v>
      </c>
      <c r="C5" s="4">
        <v>1272</v>
      </c>
      <c r="D5" s="4">
        <f>B5+C5</f>
        <v>2544</v>
      </c>
      <c r="E5" s="4">
        <v>381</v>
      </c>
      <c r="F5" s="4">
        <v>378</v>
      </c>
    </row>
    <row r="6" ht="15.6" spans="1:6">
      <c r="A6" s="2" t="s">
        <v>55</v>
      </c>
      <c r="B6" s="9">
        <v>34647</v>
      </c>
      <c r="C6" s="9">
        <v>34647</v>
      </c>
      <c r="D6" s="4">
        <f>B6+C6</f>
        <v>69294</v>
      </c>
      <c r="E6" s="4">
        <v>1276</v>
      </c>
      <c r="F6" s="4">
        <v>1326</v>
      </c>
    </row>
    <row r="7" ht="15.6" spans="1:6">
      <c r="A7" s="5" t="s">
        <v>61</v>
      </c>
      <c r="B7" s="9">
        <v>763</v>
      </c>
      <c r="C7" s="9">
        <v>763</v>
      </c>
      <c r="D7" s="9">
        <v>1526</v>
      </c>
      <c r="E7" s="4">
        <v>148</v>
      </c>
      <c r="F7" s="4">
        <v>152</v>
      </c>
    </row>
    <row r="8" ht="15.6" spans="1:6">
      <c r="A8" s="5" t="s">
        <v>63</v>
      </c>
      <c r="B8" s="9">
        <v>243</v>
      </c>
      <c r="C8" s="9">
        <v>433</v>
      </c>
      <c r="D8" s="9">
        <v>676</v>
      </c>
      <c r="E8" s="4">
        <v>22</v>
      </c>
      <c r="F8" s="4">
        <v>35</v>
      </c>
    </row>
    <row r="9" ht="15.6" spans="1:6">
      <c r="A9" s="2" t="s">
        <v>76</v>
      </c>
      <c r="B9" s="12">
        <v>1618</v>
      </c>
      <c r="C9" s="12">
        <v>1618</v>
      </c>
      <c r="D9" s="13">
        <f>B9+C9</f>
        <v>3236</v>
      </c>
      <c r="E9" s="7">
        <v>103</v>
      </c>
      <c r="F9" s="7">
        <v>104</v>
      </c>
    </row>
    <row r="10" spans="5:6">
      <c r="E10" s="7"/>
      <c r="F10" s="7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$A1:$XFD1"/>
    </sheetView>
  </sheetViews>
  <sheetFormatPr defaultColWidth="8.88888888888889" defaultRowHeight="13.2" outlineLevelRow="6" outlineLevelCol="7"/>
  <cols>
    <col min="1" max="1" width="24.3333333333333" customWidth="1"/>
    <col min="2" max="4" width="12.6296296296296"/>
    <col min="5" max="5" width="16.7777777777778" customWidth="1"/>
    <col min="6" max="6" width="11.3333333333333" customWidth="1"/>
    <col min="7" max="7" width="11.8888888888889" customWidth="1"/>
    <col min="8" max="8" width="12.8888888888889"/>
  </cols>
  <sheetData>
    <row r="1" ht="15.6" spans="1:8">
      <c r="A1" s="1" t="s">
        <v>71</v>
      </c>
      <c r="B1" s="2" t="s">
        <v>15</v>
      </c>
      <c r="C1" s="2" t="s">
        <v>16</v>
      </c>
      <c r="D1" s="2" t="s">
        <v>17</v>
      </c>
      <c r="E1" s="2" t="s">
        <v>72</v>
      </c>
      <c r="F1" s="2" t="s">
        <v>73</v>
      </c>
      <c r="G1" s="2" t="s">
        <v>74</v>
      </c>
      <c r="H1" s="2" t="s">
        <v>75</v>
      </c>
    </row>
    <row r="2" ht="15.6" spans="1:8">
      <c r="A2" s="2" t="s">
        <v>18</v>
      </c>
      <c r="B2" s="3">
        <v>124</v>
      </c>
      <c r="C2" s="3">
        <v>124</v>
      </c>
      <c r="D2" s="3">
        <v>248</v>
      </c>
      <c r="E2" s="3">
        <v>27.7</v>
      </c>
      <c r="F2" s="3">
        <v>27.9</v>
      </c>
      <c r="G2" s="7">
        <v>6.8</v>
      </c>
      <c r="H2" s="7">
        <v>4.3</v>
      </c>
    </row>
    <row r="3" ht="15.6" spans="1:8">
      <c r="A3" s="2" t="s">
        <v>42</v>
      </c>
      <c r="B3" s="3">
        <v>1272</v>
      </c>
      <c r="C3" s="3">
        <v>1272</v>
      </c>
      <c r="D3" s="3">
        <f>B3+C3</f>
        <v>2544</v>
      </c>
      <c r="E3" s="3">
        <v>29.9</v>
      </c>
      <c r="F3" s="3">
        <v>29.6</v>
      </c>
      <c r="G3" s="7">
        <v>7</v>
      </c>
      <c r="H3" s="7">
        <v>5.7</v>
      </c>
    </row>
    <row r="4" ht="15.6" spans="1:8">
      <c r="A4" s="2" t="s">
        <v>51</v>
      </c>
      <c r="B4" s="3">
        <v>764</v>
      </c>
      <c r="C4" s="3">
        <v>1489</v>
      </c>
      <c r="D4" s="3">
        <f>B4+C4</f>
        <v>2253</v>
      </c>
      <c r="E4" s="3">
        <v>27.7</v>
      </c>
      <c r="F4" s="3">
        <v>28</v>
      </c>
      <c r="G4" s="3">
        <v>6.2</v>
      </c>
      <c r="H4" s="3">
        <v>5.6</v>
      </c>
    </row>
    <row r="5" ht="15.6" spans="1:8">
      <c r="A5" s="5" t="s">
        <v>61</v>
      </c>
      <c r="B5" s="6">
        <v>763</v>
      </c>
      <c r="C5" s="6">
        <v>763</v>
      </c>
      <c r="D5" s="6">
        <v>1526</v>
      </c>
      <c r="E5" s="8">
        <v>28.6</v>
      </c>
      <c r="F5" s="8">
        <v>28.23333333</v>
      </c>
      <c r="G5" s="8">
        <v>5.421850592</v>
      </c>
      <c r="H5" s="8">
        <v>4.679131332</v>
      </c>
    </row>
    <row r="6" ht="15.6" spans="1:8">
      <c r="A6" s="5" t="s">
        <v>63</v>
      </c>
      <c r="B6" s="6">
        <v>243</v>
      </c>
      <c r="C6" s="6">
        <v>433</v>
      </c>
      <c r="D6" s="6">
        <v>676</v>
      </c>
      <c r="E6" s="6">
        <v>27.36666667</v>
      </c>
      <c r="F6" s="11">
        <v>27.33333333</v>
      </c>
      <c r="G6" s="11">
        <v>5.816966848</v>
      </c>
      <c r="H6" s="11">
        <v>4.090912429</v>
      </c>
    </row>
    <row r="7" ht="15.6" spans="1:8">
      <c r="A7" s="2" t="s">
        <v>76</v>
      </c>
      <c r="B7" s="12">
        <v>1618</v>
      </c>
      <c r="C7" s="12">
        <v>1618</v>
      </c>
      <c r="D7" s="13">
        <f>B7+C7</f>
        <v>3236</v>
      </c>
      <c r="E7" s="7">
        <v>29.3</v>
      </c>
      <c r="F7" s="7">
        <v>29.2</v>
      </c>
      <c r="G7" s="7">
        <v>5.4</v>
      </c>
      <c r="H7" s="7">
        <v>4.4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8.88888888888889" defaultRowHeight="13.2" outlineLevelRow="5"/>
  <cols>
    <col min="1" max="1" width="24.3333333333333" customWidth="1"/>
    <col min="2" max="4" width="12.6296296296296"/>
    <col min="5" max="5" width="17.3333333333333" customWidth="1"/>
    <col min="6" max="6" width="13.5555555555556" customWidth="1"/>
    <col min="7" max="7" width="12.8888888888889" customWidth="1"/>
    <col min="8" max="8" width="12.7777777777778" customWidth="1"/>
  </cols>
  <sheetData>
    <row r="1" ht="15.6" spans="1:8">
      <c r="A1" s="1" t="s">
        <v>71</v>
      </c>
      <c r="B1" s="2" t="s">
        <v>15</v>
      </c>
      <c r="C1" s="2" t="s">
        <v>16</v>
      </c>
      <c r="D1" s="2" t="s">
        <v>17</v>
      </c>
      <c r="E1" s="2" t="s">
        <v>72</v>
      </c>
      <c r="F1" s="2" t="s">
        <v>73</v>
      </c>
      <c r="G1" s="2" t="s">
        <v>74</v>
      </c>
      <c r="H1" s="2" t="s">
        <v>75</v>
      </c>
    </row>
    <row r="2" ht="15.6" spans="1:8">
      <c r="A2" s="2" t="s">
        <v>18</v>
      </c>
      <c r="B2" s="4">
        <v>124</v>
      </c>
      <c r="C2" s="4">
        <v>124</v>
      </c>
      <c r="D2" s="4">
        <v>248</v>
      </c>
      <c r="E2" s="10">
        <v>91.33333333</v>
      </c>
      <c r="F2" s="10">
        <v>99.33333333</v>
      </c>
      <c r="G2" s="10">
        <v>46.87996446</v>
      </c>
      <c r="H2" s="10">
        <v>47.63004389</v>
      </c>
    </row>
    <row r="3" ht="15.6" spans="1:9">
      <c r="A3" s="2" t="s">
        <v>41</v>
      </c>
      <c r="B3" s="4">
        <v>232</v>
      </c>
      <c r="C3" s="4">
        <v>232</v>
      </c>
      <c r="D3" s="4">
        <v>464</v>
      </c>
      <c r="E3" s="4">
        <v>86</v>
      </c>
      <c r="F3" s="4">
        <v>88.3333333</v>
      </c>
      <c r="G3" s="4">
        <v>34.31496194</v>
      </c>
      <c r="H3" s="4">
        <v>35.06093938</v>
      </c>
      <c r="I3" s="4"/>
    </row>
    <row r="4" ht="15.6" spans="1:8">
      <c r="A4" s="2" t="s">
        <v>42</v>
      </c>
      <c r="B4" s="4">
        <v>1272</v>
      </c>
      <c r="C4" s="4">
        <v>1272</v>
      </c>
      <c r="D4" s="4">
        <f>B4+C4</f>
        <v>2544</v>
      </c>
      <c r="E4" s="4">
        <v>141.9</v>
      </c>
      <c r="F4" s="4">
        <v>150.5</v>
      </c>
      <c r="G4" s="4">
        <v>61.5</v>
      </c>
      <c r="H4" s="4">
        <v>58.7</v>
      </c>
    </row>
    <row r="5" ht="15.6" spans="1:8">
      <c r="A5" s="2" t="s">
        <v>51</v>
      </c>
      <c r="B5" s="4">
        <v>764</v>
      </c>
      <c r="C5" s="4">
        <v>1489</v>
      </c>
      <c r="D5" s="4">
        <f>B5+C5</f>
        <v>2253</v>
      </c>
      <c r="E5" s="4">
        <v>117.1</v>
      </c>
      <c r="F5" s="4">
        <v>127</v>
      </c>
      <c r="G5" s="4">
        <v>39.6</v>
      </c>
      <c r="H5" s="4">
        <v>44.8</v>
      </c>
    </row>
    <row r="6" ht="15.6" spans="1:8">
      <c r="A6" s="5" t="s">
        <v>63</v>
      </c>
      <c r="B6" s="9">
        <v>243</v>
      </c>
      <c r="C6" s="9">
        <v>433</v>
      </c>
      <c r="D6" s="9">
        <v>676</v>
      </c>
      <c r="E6" s="4">
        <v>102.1</v>
      </c>
      <c r="F6" s="4">
        <v>103.9</v>
      </c>
      <c r="G6" s="4">
        <v>38.1</v>
      </c>
      <c r="H6" s="4">
        <v>39.3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$A1:$XFD1"/>
    </sheetView>
  </sheetViews>
  <sheetFormatPr defaultColWidth="8.88888888888889" defaultRowHeight="13.2" outlineLevelRow="5" outlineLevelCol="7"/>
  <cols>
    <col min="1" max="1" width="24.3333333333333" customWidth="1"/>
    <col min="2" max="4" width="12.6296296296296"/>
    <col min="5" max="5" width="15.1111111111111" customWidth="1"/>
    <col min="6" max="6" width="12.4444444444444" customWidth="1"/>
    <col min="7" max="7" width="12.2222222222222" customWidth="1"/>
    <col min="8" max="8" width="15.1111111111111" customWidth="1"/>
  </cols>
  <sheetData>
    <row r="1" ht="15.6" spans="1:8">
      <c r="A1" s="1" t="s">
        <v>71</v>
      </c>
      <c r="B1" s="2" t="s">
        <v>15</v>
      </c>
      <c r="C1" s="2" t="s">
        <v>16</v>
      </c>
      <c r="D1" s="2" t="s">
        <v>17</v>
      </c>
      <c r="E1" s="2" t="s">
        <v>72</v>
      </c>
      <c r="F1" s="2" t="s">
        <v>73</v>
      </c>
      <c r="G1" s="2" t="s">
        <v>74</v>
      </c>
      <c r="H1" s="2" t="s">
        <v>75</v>
      </c>
    </row>
    <row r="2" ht="15.6" spans="1:8">
      <c r="A2" s="2" t="s">
        <v>18</v>
      </c>
      <c r="B2" s="4">
        <v>124</v>
      </c>
      <c r="C2" s="4">
        <v>124</v>
      </c>
      <c r="D2" s="4">
        <v>248</v>
      </c>
      <c r="E2" s="4">
        <v>77.33333333</v>
      </c>
      <c r="F2" s="4">
        <v>82.5</v>
      </c>
      <c r="G2" s="4">
        <v>36.75389213</v>
      </c>
      <c r="H2" s="4">
        <v>33.75357441</v>
      </c>
    </row>
    <row r="3" ht="15.6" spans="1:8">
      <c r="A3" s="2" t="s">
        <v>41</v>
      </c>
      <c r="B3" s="4">
        <v>232</v>
      </c>
      <c r="C3" s="4">
        <v>232</v>
      </c>
      <c r="D3" s="4">
        <v>464</v>
      </c>
      <c r="E3" s="4">
        <v>64.33333333</v>
      </c>
      <c r="F3" s="4">
        <v>65.33333333</v>
      </c>
      <c r="G3" s="4">
        <v>24.61725531</v>
      </c>
      <c r="H3" s="4">
        <v>23.12530044</v>
      </c>
    </row>
    <row r="4" ht="15.6" spans="1:8">
      <c r="A4" s="2" t="s">
        <v>42</v>
      </c>
      <c r="B4" s="4">
        <v>1272</v>
      </c>
      <c r="C4" s="4">
        <v>1272</v>
      </c>
      <c r="D4" s="4">
        <f>B4+C4</f>
        <v>2544</v>
      </c>
      <c r="E4" s="4">
        <v>111.3</v>
      </c>
      <c r="F4" s="4">
        <v>117.1</v>
      </c>
      <c r="G4" s="4">
        <v>50.7</v>
      </c>
      <c r="H4" s="4">
        <v>47.2</v>
      </c>
    </row>
    <row r="5" ht="15.6" spans="1:8">
      <c r="A5" s="2" t="s">
        <v>51</v>
      </c>
      <c r="B5" s="4">
        <v>764</v>
      </c>
      <c r="C5" s="4">
        <v>1489</v>
      </c>
      <c r="D5" s="4">
        <f>B5+C5</f>
        <v>2253</v>
      </c>
      <c r="E5" s="4">
        <v>78.1</v>
      </c>
      <c r="F5" s="4">
        <v>84.9</v>
      </c>
      <c r="G5" s="4">
        <v>24.9</v>
      </c>
      <c r="H5" s="4">
        <v>27.4</v>
      </c>
    </row>
    <row r="6" ht="15.6" spans="1:8">
      <c r="A6" s="5" t="s">
        <v>63</v>
      </c>
      <c r="B6" s="9">
        <v>243</v>
      </c>
      <c r="C6" s="9">
        <v>433</v>
      </c>
      <c r="D6" s="9">
        <v>676</v>
      </c>
      <c r="E6" s="4">
        <v>71.7</v>
      </c>
      <c r="F6" s="4">
        <v>75</v>
      </c>
      <c r="G6" s="4">
        <v>26.3</v>
      </c>
      <c r="H6" s="4">
        <v>26.8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G26" sqref="G26"/>
    </sheetView>
  </sheetViews>
  <sheetFormatPr defaultColWidth="8.88888888888889" defaultRowHeight="13.2" outlineLevelRow="2" outlineLevelCol="7"/>
  <cols>
    <col min="1" max="1" width="24.7777777777778" customWidth="1"/>
    <col min="5" max="5" width="16.1111111111111" customWidth="1"/>
    <col min="6" max="6" width="12.6666666666667" customWidth="1"/>
    <col min="7" max="7" width="14.7777777777778" customWidth="1"/>
    <col min="8" max="8" width="9.77777777777778" customWidth="1"/>
  </cols>
  <sheetData>
    <row r="1" ht="15.6" spans="1:8">
      <c r="A1" s="1" t="s">
        <v>71</v>
      </c>
      <c r="B1" s="2" t="s">
        <v>15</v>
      </c>
      <c r="C1" s="2" t="s">
        <v>16</v>
      </c>
      <c r="D1" s="2" t="s">
        <v>17</v>
      </c>
      <c r="E1" s="2" t="s">
        <v>72</v>
      </c>
      <c r="F1" s="2" t="s">
        <v>73</v>
      </c>
      <c r="G1" s="2" t="s">
        <v>74</v>
      </c>
      <c r="H1" s="2" t="s">
        <v>75</v>
      </c>
    </row>
    <row r="2" ht="15.6" spans="1:8">
      <c r="A2" s="2" t="s">
        <v>18</v>
      </c>
      <c r="B2" s="3">
        <v>124</v>
      </c>
      <c r="C2" s="3">
        <v>124</v>
      </c>
      <c r="D2" s="3">
        <v>248</v>
      </c>
      <c r="E2" s="7">
        <v>1</v>
      </c>
      <c r="F2" s="7">
        <v>1.1</v>
      </c>
      <c r="G2" s="7">
        <v>0.8</v>
      </c>
      <c r="H2" s="7">
        <v>0.7</v>
      </c>
    </row>
    <row r="3" ht="15.6" spans="1:8">
      <c r="A3" s="2" t="s">
        <v>41</v>
      </c>
      <c r="B3" s="3">
        <v>232</v>
      </c>
      <c r="C3" s="3">
        <v>232</v>
      </c>
      <c r="D3" s="3">
        <v>464</v>
      </c>
      <c r="E3" s="8">
        <v>1.766666667</v>
      </c>
      <c r="F3" s="7">
        <v>1.8</v>
      </c>
      <c r="G3" s="8">
        <v>0.3729887168</v>
      </c>
      <c r="H3" s="8">
        <v>0.2983909734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C10" sqref="C10"/>
    </sheetView>
  </sheetViews>
  <sheetFormatPr defaultColWidth="8.88888888888889" defaultRowHeight="13.2" outlineLevelRow="4"/>
  <cols>
    <col min="1" max="1" width="21.6666666666667" customWidth="1"/>
    <col min="6" max="6" width="16.7777777777778" customWidth="1"/>
    <col min="7" max="7" width="13.2222222222222" customWidth="1"/>
    <col min="8" max="8" width="13.7777777777778" customWidth="1"/>
    <col min="9" max="9" width="11.1111111111111" customWidth="1"/>
    <col min="10" max="10" width="14.5555555555556" customWidth="1"/>
  </cols>
  <sheetData>
    <row r="1" ht="15.6" spans="1:9">
      <c r="A1" s="1" t="s">
        <v>71</v>
      </c>
      <c r="B1" s="2" t="s">
        <v>79</v>
      </c>
      <c r="C1" s="2" t="s">
        <v>15</v>
      </c>
      <c r="D1" s="2" t="s">
        <v>16</v>
      </c>
      <c r="E1" s="2" t="s">
        <v>17</v>
      </c>
      <c r="F1" s="2" t="s">
        <v>72</v>
      </c>
      <c r="G1" s="2" t="s">
        <v>73</v>
      </c>
      <c r="H1" s="2" t="s">
        <v>74</v>
      </c>
      <c r="I1" s="2" t="s">
        <v>75</v>
      </c>
    </row>
    <row r="2" ht="15.6" spans="1:10">
      <c r="A2" s="2" t="s">
        <v>80</v>
      </c>
      <c r="B2" s="3">
        <v>2023</v>
      </c>
      <c r="C2" s="3">
        <v>566</v>
      </c>
      <c r="D2" s="3">
        <v>566</v>
      </c>
      <c r="E2" s="3">
        <f>C2+D2</f>
        <v>1132</v>
      </c>
      <c r="F2" s="4">
        <v>22.7</v>
      </c>
      <c r="G2" s="4">
        <v>22.9</v>
      </c>
      <c r="H2" s="4">
        <v>1.8</v>
      </c>
      <c r="I2" s="4">
        <v>1.6</v>
      </c>
      <c r="J2" s="4"/>
    </row>
    <row r="3" ht="15.6" spans="1:10">
      <c r="A3" s="2" t="s">
        <v>81</v>
      </c>
      <c r="B3" s="3">
        <v>2006</v>
      </c>
      <c r="C3" s="3">
        <v>232</v>
      </c>
      <c r="D3" s="3">
        <v>232</v>
      </c>
      <c r="E3" s="3">
        <v>464</v>
      </c>
      <c r="F3" s="4">
        <v>21.66666667</v>
      </c>
      <c r="G3" s="4">
        <v>21.66666667</v>
      </c>
      <c r="H3" s="4">
        <v>1.491954867</v>
      </c>
      <c r="I3" s="4">
        <v>1.491954867</v>
      </c>
      <c r="J3" s="4"/>
    </row>
    <row r="4" ht="15.6" spans="1:10">
      <c r="A4" s="5" t="s">
        <v>82</v>
      </c>
      <c r="B4" s="6">
        <v>2023</v>
      </c>
      <c r="C4" s="6">
        <v>763</v>
      </c>
      <c r="D4" s="6">
        <v>763</v>
      </c>
      <c r="E4" s="6">
        <v>1526</v>
      </c>
      <c r="F4" s="4">
        <v>22.33333333</v>
      </c>
      <c r="G4" s="4">
        <v>22.33333333</v>
      </c>
      <c r="H4" s="4">
        <v>1.485438518</v>
      </c>
      <c r="I4" s="4">
        <v>1.485438518</v>
      </c>
      <c r="J4" s="4"/>
    </row>
    <row r="5" ht="15.6" spans="1:10">
      <c r="A5" s="5" t="s">
        <v>83</v>
      </c>
      <c r="B5" s="6">
        <v>2024</v>
      </c>
      <c r="C5" s="6">
        <v>243</v>
      </c>
      <c r="D5" s="6">
        <v>433</v>
      </c>
      <c r="E5" s="6">
        <v>676</v>
      </c>
      <c r="F5" s="3">
        <v>22.3</v>
      </c>
      <c r="G5" s="3">
        <v>24.7</v>
      </c>
      <c r="H5" s="3">
        <v>1.5</v>
      </c>
      <c r="I5" s="3">
        <v>2.1</v>
      </c>
      <c r="J5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Sheet1</vt:lpstr>
      <vt:lpstr>Age</vt:lpstr>
      <vt:lpstr>Mechanical</vt:lpstr>
      <vt:lpstr>AR</vt:lpstr>
      <vt:lpstr>LVEF</vt:lpstr>
      <vt:lpstr>HTN</vt:lpstr>
      <vt:lpstr>DM</vt:lpstr>
      <vt:lpstr>CAD</vt:lpstr>
      <vt:lpstr>AF</vt:lpstr>
      <vt:lpstr>COPD</vt:lpstr>
      <vt:lpstr>BMI</vt:lpstr>
      <vt:lpstr>CPB</vt:lpstr>
      <vt:lpstr>ACC</vt:lpstr>
      <vt:lpstr>iEOA</vt:lpstr>
      <vt:lpstr>ProsthesisSize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leoco</cp:lastModifiedBy>
  <dcterms:created xsi:type="dcterms:W3CDTF">2025-06-24T02:07:00Z</dcterms:created>
  <dcterms:modified xsi:type="dcterms:W3CDTF">2025-07-10T02:40:07Z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2649D57A5CA34A2C827E42845AF2CE6C_12</vt:lpwstr>
  </property>
  <property fmtid="{D5CDD505-2E9C-101B-9397-08002B2CF9AE}" pid="3" name="KSOProductBuildVer">
    <vt:lpwstr>1033-12.2.0.21931</vt:lpwstr>
  </property>
</Properties>
</file>